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8195" windowHeight="11580" tabRatio="787" firstSheet="17" activeTab="25"/>
  </bookViews>
  <sheets>
    <sheet name="Opening Balance FEB 2026" sheetId="2" r:id="rId1"/>
    <sheet name="01-03-2026" sheetId="54" r:id="rId2"/>
    <sheet name="02-03-2026" sheetId="55" r:id="rId3"/>
    <sheet name="03-03-2026" sheetId="56" r:id="rId4"/>
    <sheet name="04-03-2026" sheetId="57" r:id="rId5"/>
    <sheet name="05-03-2026" sheetId="58" r:id="rId6"/>
    <sheet name="07-03-2026" sheetId="59" r:id="rId7"/>
    <sheet name="08-03-2026" sheetId="60" r:id="rId8"/>
    <sheet name="09-03-2026" sheetId="61" r:id="rId9"/>
    <sheet name="10-03-2026" sheetId="62" r:id="rId10"/>
    <sheet name="11-03-2026" sheetId="63" r:id="rId11"/>
    <sheet name="12-03-2026" sheetId="64" r:id="rId12"/>
    <sheet name="14-03-2026" sheetId="65" r:id="rId13"/>
    <sheet name="15-03-2026" sheetId="66" r:id="rId14"/>
    <sheet name="16-03-2026" sheetId="67" r:id="rId15"/>
    <sheet name="17-03-2026" sheetId="68" r:id="rId16"/>
    <sheet name="18-03-2026" sheetId="69" r:id="rId17"/>
    <sheet name="19-03-2026" sheetId="70" r:id="rId18"/>
    <sheet name="20-03-2026" sheetId="71" r:id="rId19"/>
    <sheet name="24-03-2026" sheetId="72" r:id="rId20"/>
    <sheet name="25-03-2026" sheetId="74" r:id="rId21"/>
    <sheet name="26-03-2026" sheetId="75" r:id="rId22"/>
    <sheet name="28-03-2026" sheetId="76" r:id="rId23"/>
    <sheet name="29-03-2026" sheetId="77" r:id="rId24"/>
    <sheet name="30-03-2026" sheetId="78" r:id="rId25"/>
    <sheet name="31-03-2026" sheetId="79" r:id="rId26"/>
  </sheets>
  <calcPr calcId="144525"/>
</workbook>
</file>

<file path=xl/calcChain.xml><?xml version="1.0" encoding="utf-8"?>
<calcChain xmlns="http://schemas.openxmlformats.org/spreadsheetml/2006/main">
  <c r="J71" i="79" l="1"/>
  <c r="J58" i="79" l="1"/>
  <c r="J57" i="79"/>
  <c r="J56" i="79"/>
  <c r="J55" i="79"/>
  <c r="J54" i="79"/>
  <c r="J53" i="79"/>
  <c r="K59" i="79"/>
  <c r="I8" i="75"/>
  <c r="M8" i="79"/>
  <c r="M10" i="79"/>
  <c r="M11" i="79"/>
  <c r="M7" i="79"/>
  <c r="G59" i="79"/>
  <c r="H6" i="79" l="1"/>
  <c r="I6" i="79" s="1"/>
  <c r="H7" i="79"/>
  <c r="I7" i="79" s="1"/>
  <c r="H16" i="79" l="1"/>
  <c r="I16" i="79" s="1"/>
  <c r="H15" i="79" l="1"/>
  <c r="I15" i="79" s="1"/>
  <c r="H17" i="79"/>
  <c r="H18" i="79"/>
  <c r="H19" i="79"/>
  <c r="I17" i="79"/>
  <c r="I18" i="79"/>
  <c r="M31" i="79" l="1"/>
  <c r="M32" i="79"/>
  <c r="M33" i="79"/>
  <c r="M29" i="79"/>
  <c r="M27" i="79"/>
  <c r="M26" i="79"/>
  <c r="M24" i="79"/>
  <c r="M23" i="79"/>
  <c r="M21" i="79"/>
  <c r="M14" i="79"/>
  <c r="M17" i="79"/>
  <c r="M13" i="79"/>
  <c r="M5" i="79"/>
  <c r="G118" i="79"/>
  <c r="G117" i="79"/>
  <c r="G119" i="79" s="1"/>
  <c r="G114" i="79"/>
  <c r="G115" i="79" s="1"/>
  <c r="H111" i="79"/>
  <c r="G111" i="79"/>
  <c r="F111" i="79"/>
  <c r="G110" i="79"/>
  <c r="H109" i="79"/>
  <c r="H112" i="79" s="1"/>
  <c r="G109" i="79"/>
  <c r="G112" i="79" s="1"/>
  <c r="F109" i="79"/>
  <c r="F112" i="79" s="1"/>
  <c r="G105" i="79"/>
  <c r="G104" i="79"/>
  <c r="G107" i="79" s="1"/>
  <c r="H101" i="79"/>
  <c r="G101" i="79"/>
  <c r="F101" i="79"/>
  <c r="G100" i="79"/>
  <c r="G99" i="79"/>
  <c r="G98" i="79"/>
  <c r="G97" i="79"/>
  <c r="G96" i="79"/>
  <c r="K89" i="79"/>
  <c r="J88" i="79"/>
  <c r="L88" i="79" s="1"/>
  <c r="K86" i="79"/>
  <c r="L86" i="79" s="1"/>
  <c r="J85" i="79"/>
  <c r="L85" i="79" s="1"/>
  <c r="J84" i="79"/>
  <c r="L84" i="79" s="1"/>
  <c r="K82" i="79"/>
  <c r="J73" i="79"/>
  <c r="L73" i="79" s="1"/>
  <c r="J72" i="79"/>
  <c r="L72" i="79" s="1"/>
  <c r="D70" i="79"/>
  <c r="K66" i="79"/>
  <c r="J64" i="79"/>
  <c r="L64" i="79" s="1"/>
  <c r="D62" i="79"/>
  <c r="D56" i="79"/>
  <c r="O34" i="79"/>
  <c r="N34" i="79"/>
  <c r="L34" i="79"/>
  <c r="K34" i="79"/>
  <c r="J34" i="79"/>
  <c r="G34" i="79"/>
  <c r="F34" i="79"/>
  <c r="H33" i="79"/>
  <c r="I33" i="79" s="1"/>
  <c r="H32" i="79"/>
  <c r="I32" i="79" s="1"/>
  <c r="H31" i="79"/>
  <c r="F110" i="79" s="1"/>
  <c r="H29" i="79"/>
  <c r="I29" i="79" s="1"/>
  <c r="O28" i="79"/>
  <c r="N28" i="79"/>
  <c r="L28" i="79"/>
  <c r="K28" i="79"/>
  <c r="J28" i="79"/>
  <c r="G28" i="79"/>
  <c r="F28" i="79"/>
  <c r="H27" i="79"/>
  <c r="F118" i="79" s="1"/>
  <c r="H26" i="79"/>
  <c r="I26" i="79" s="1"/>
  <c r="O25" i="79"/>
  <c r="N25" i="79"/>
  <c r="L25" i="79"/>
  <c r="K25" i="79"/>
  <c r="J25" i="79"/>
  <c r="G25" i="79"/>
  <c r="F25" i="79"/>
  <c r="H24" i="79"/>
  <c r="I24" i="79" s="1"/>
  <c r="H23" i="79"/>
  <c r="F114" i="79" s="1"/>
  <c r="F115" i="79" s="1"/>
  <c r="O22" i="79"/>
  <c r="N22" i="79"/>
  <c r="L22" i="79"/>
  <c r="K22" i="79"/>
  <c r="J22" i="79"/>
  <c r="G22" i="79"/>
  <c r="F22" i="79"/>
  <c r="M22" i="79"/>
  <c r="H21" i="79"/>
  <c r="H22" i="79" s="1"/>
  <c r="O20" i="79"/>
  <c r="N20" i="79"/>
  <c r="L20" i="79"/>
  <c r="K20" i="79"/>
  <c r="J20" i="79"/>
  <c r="G20" i="79"/>
  <c r="F20" i="79"/>
  <c r="I19" i="79"/>
  <c r="J63" i="79"/>
  <c r="L63" i="79" s="1"/>
  <c r="H14" i="79"/>
  <c r="F105" i="79" s="1"/>
  <c r="H13" i="79"/>
  <c r="F104" i="79" s="1"/>
  <c r="O12" i="79"/>
  <c r="N12" i="79"/>
  <c r="L12" i="79"/>
  <c r="K12" i="79"/>
  <c r="J12" i="79"/>
  <c r="G12" i="79"/>
  <c r="F12" i="79"/>
  <c r="H11" i="79"/>
  <c r="I11" i="79" s="1"/>
  <c r="H10" i="79"/>
  <c r="I10" i="79" s="1"/>
  <c r="H100" i="79" s="1"/>
  <c r="H9" i="79"/>
  <c r="F99" i="79" s="1"/>
  <c r="H8" i="79"/>
  <c r="F98" i="79" s="1"/>
  <c r="F97" i="79"/>
  <c r="H5" i="79"/>
  <c r="I5" i="79" s="1"/>
  <c r="G102" i="79" l="1"/>
  <c r="M34" i="79"/>
  <c r="M28" i="79"/>
  <c r="J77" i="79"/>
  <c r="L77" i="79" s="1"/>
  <c r="K35" i="79"/>
  <c r="I21" i="79"/>
  <c r="I22" i="79" s="1"/>
  <c r="G38" i="79"/>
  <c r="I27" i="79"/>
  <c r="I28" i="79" s="1"/>
  <c r="G39" i="79"/>
  <c r="I31" i="79"/>
  <c r="J69" i="79" s="1"/>
  <c r="L69" i="79" s="1"/>
  <c r="O35" i="79"/>
  <c r="N35" i="79"/>
  <c r="L35" i="79"/>
  <c r="G40" i="79"/>
  <c r="G37" i="79"/>
  <c r="J35" i="79"/>
  <c r="G36" i="79"/>
  <c r="I14" i="79"/>
  <c r="H105" i="79" s="1"/>
  <c r="G35" i="79"/>
  <c r="L71" i="79"/>
  <c r="L58" i="79"/>
  <c r="I9" i="79"/>
  <c r="H99" i="79" s="1"/>
  <c r="F35" i="79"/>
  <c r="L57" i="79"/>
  <c r="H117" i="79"/>
  <c r="I34" i="79"/>
  <c r="H96" i="79"/>
  <c r="J70" i="79"/>
  <c r="L70" i="79" s="1"/>
  <c r="G120" i="79"/>
  <c r="F107" i="79"/>
  <c r="I8" i="79"/>
  <c r="H98" i="79" s="1"/>
  <c r="H20" i="79"/>
  <c r="J65" i="79"/>
  <c r="L65" i="79" s="1"/>
  <c r="J80" i="79"/>
  <c r="F117" i="79"/>
  <c r="F119" i="79" s="1"/>
  <c r="H12" i="79"/>
  <c r="M20" i="79"/>
  <c r="H25" i="79"/>
  <c r="H28" i="79"/>
  <c r="H34" i="79"/>
  <c r="J68" i="79"/>
  <c r="F96" i="79"/>
  <c r="F100" i="79"/>
  <c r="I13" i="79"/>
  <c r="I23" i="79"/>
  <c r="M25" i="79"/>
  <c r="J69" i="78"/>
  <c r="J62" i="79" l="1"/>
  <c r="H97" i="79"/>
  <c r="L54" i="79"/>
  <c r="H118" i="79"/>
  <c r="H119" i="79" s="1"/>
  <c r="J81" i="79"/>
  <c r="L81" i="79" s="1"/>
  <c r="G41" i="79"/>
  <c r="D57" i="79" s="1"/>
  <c r="D58" i="79" s="1"/>
  <c r="D63" i="79" s="1"/>
  <c r="D71" i="79" s="1"/>
  <c r="D73" i="79" s="1"/>
  <c r="L62" i="79"/>
  <c r="L55" i="79"/>
  <c r="H35" i="79"/>
  <c r="H102" i="79"/>
  <c r="F102" i="79"/>
  <c r="F120" i="79" s="1"/>
  <c r="I12" i="79"/>
  <c r="L68" i="79"/>
  <c r="J74" i="79"/>
  <c r="L74" i="79" s="1"/>
  <c r="L80" i="79"/>
  <c r="J82" i="79"/>
  <c r="I25" i="79"/>
  <c r="H114" i="79"/>
  <c r="H115" i="79" s="1"/>
  <c r="I20" i="79"/>
  <c r="H104" i="79"/>
  <c r="H107" i="79" s="1"/>
  <c r="L53" i="79"/>
  <c r="J61" i="79"/>
  <c r="J76" i="79"/>
  <c r="H30" i="78"/>
  <c r="I30" i="78"/>
  <c r="J31" i="78"/>
  <c r="G31" i="78"/>
  <c r="F31" i="78"/>
  <c r="I35" i="79" l="1"/>
  <c r="H120" i="79"/>
  <c r="L76" i="79"/>
  <c r="J78" i="79"/>
  <c r="L78" i="79" s="1"/>
  <c r="J66" i="79"/>
  <c r="L66" i="79" s="1"/>
  <c r="L61" i="79"/>
  <c r="L82" i="79"/>
  <c r="M27" i="78"/>
  <c r="M28" i="78"/>
  <c r="M29" i="78"/>
  <c r="M26" i="78"/>
  <c r="M24" i="78"/>
  <c r="M23" i="78"/>
  <c r="M21" i="78"/>
  <c r="M20" i="78"/>
  <c r="M18" i="78"/>
  <c r="M19" i="78" s="1"/>
  <c r="M13" i="78"/>
  <c r="M14" i="78"/>
  <c r="M12" i="78"/>
  <c r="M6" i="78"/>
  <c r="M7" i="78"/>
  <c r="M9" i="78"/>
  <c r="M10" i="78"/>
  <c r="M5" i="78"/>
  <c r="G115" i="78"/>
  <c r="G114" i="78"/>
  <c r="G116" i="78" s="1"/>
  <c r="G111" i="78"/>
  <c r="G112" i="78" s="1"/>
  <c r="H108" i="78"/>
  <c r="G108" i="78"/>
  <c r="F108" i="78"/>
  <c r="G107" i="78"/>
  <c r="H106" i="78"/>
  <c r="H109" i="78" s="1"/>
  <c r="G106" i="78"/>
  <c r="G109" i="78" s="1"/>
  <c r="F106" i="78"/>
  <c r="F109" i="78" s="1"/>
  <c r="G102" i="78"/>
  <c r="G101" i="78"/>
  <c r="H98" i="78"/>
  <c r="G98" i="78"/>
  <c r="F98" i="78"/>
  <c r="G97" i="78"/>
  <c r="G96" i="78"/>
  <c r="G95" i="78"/>
  <c r="G94" i="78"/>
  <c r="G93" i="78"/>
  <c r="K87" i="78"/>
  <c r="J86" i="78"/>
  <c r="L86" i="78" s="1"/>
  <c r="K84" i="78"/>
  <c r="L84" i="78" s="1"/>
  <c r="J83" i="78"/>
  <c r="L83" i="78" s="1"/>
  <c r="J82" i="78"/>
  <c r="L82" i="78" s="1"/>
  <c r="K80" i="78"/>
  <c r="J71" i="78"/>
  <c r="L71" i="78" s="1"/>
  <c r="J70" i="78"/>
  <c r="L70" i="78" s="1"/>
  <c r="D67" i="78"/>
  <c r="K64" i="78"/>
  <c r="L62" i="78"/>
  <c r="J62" i="78"/>
  <c r="D59" i="78"/>
  <c r="D53" i="78"/>
  <c r="O31" i="78"/>
  <c r="N31" i="78"/>
  <c r="L31" i="78"/>
  <c r="K31" i="78"/>
  <c r="H29" i="78"/>
  <c r="I29" i="78" s="1"/>
  <c r="H28" i="78"/>
  <c r="I28" i="78" s="1"/>
  <c r="J68" i="78" s="1"/>
  <c r="L68" i="78" s="1"/>
  <c r="H27" i="78"/>
  <c r="F107" i="78" s="1"/>
  <c r="H26" i="78"/>
  <c r="I26" i="78" s="1"/>
  <c r="O25" i="78"/>
  <c r="N25" i="78"/>
  <c r="L25" i="78"/>
  <c r="K25" i="78"/>
  <c r="J25" i="78"/>
  <c r="G25" i="78"/>
  <c r="F25" i="78"/>
  <c r="H24" i="78"/>
  <c r="F115" i="78" s="1"/>
  <c r="H23" i="78"/>
  <c r="I23" i="78" s="1"/>
  <c r="O22" i="78"/>
  <c r="N22" i="78"/>
  <c r="L22" i="78"/>
  <c r="K22" i="78"/>
  <c r="J22" i="78"/>
  <c r="G22" i="78"/>
  <c r="F22" i="78"/>
  <c r="H21" i="78"/>
  <c r="I21" i="78" s="1"/>
  <c r="H20" i="78"/>
  <c r="O19" i="78"/>
  <c r="N19" i="78"/>
  <c r="L19" i="78"/>
  <c r="K19" i="78"/>
  <c r="J19" i="78"/>
  <c r="G19" i="78"/>
  <c r="F19" i="78"/>
  <c r="H18" i="78"/>
  <c r="H19" i="78" s="1"/>
  <c r="O17" i="78"/>
  <c r="N17" i="78"/>
  <c r="L17" i="78"/>
  <c r="K17" i="78"/>
  <c r="J17" i="78"/>
  <c r="G17" i="78"/>
  <c r="F17" i="78"/>
  <c r="H16" i="78"/>
  <c r="I16" i="78" s="1"/>
  <c r="H15" i="78"/>
  <c r="I15" i="78" s="1"/>
  <c r="M17" i="78"/>
  <c r="H14" i="78"/>
  <c r="I14" i="78" s="1"/>
  <c r="H13" i="78"/>
  <c r="F102" i="78" s="1"/>
  <c r="H12" i="78"/>
  <c r="F101" i="78" s="1"/>
  <c r="O11" i="78"/>
  <c r="N11" i="78"/>
  <c r="L11" i="78"/>
  <c r="K11" i="78"/>
  <c r="J11" i="78"/>
  <c r="G11" i="78"/>
  <c r="H10" i="78"/>
  <c r="I10" i="78" s="1"/>
  <c r="H9" i="78"/>
  <c r="I9" i="78" s="1"/>
  <c r="H97" i="78" s="1"/>
  <c r="H8" i="78"/>
  <c r="F96" i="78" s="1"/>
  <c r="H7" i="78"/>
  <c r="F95" i="78" s="1"/>
  <c r="H6" i="78"/>
  <c r="H5" i="78"/>
  <c r="F93" i="78" s="1"/>
  <c r="G104" i="78" l="1"/>
  <c r="M31" i="78"/>
  <c r="M25" i="78"/>
  <c r="J75" i="78"/>
  <c r="L75" i="78" s="1"/>
  <c r="G99" i="78"/>
  <c r="N32" i="78"/>
  <c r="I5" i="78"/>
  <c r="I18" i="78"/>
  <c r="I19" i="78" s="1"/>
  <c r="I24" i="78"/>
  <c r="G36" i="78"/>
  <c r="I27" i="78"/>
  <c r="J67" i="78" s="1"/>
  <c r="L67" i="78" s="1"/>
  <c r="H22" i="78"/>
  <c r="G35" i="78"/>
  <c r="G37" i="78"/>
  <c r="O32" i="78"/>
  <c r="K32" i="78"/>
  <c r="G34" i="78"/>
  <c r="J32" i="78"/>
  <c r="G33" i="78"/>
  <c r="I13" i="78"/>
  <c r="H102" i="78" s="1"/>
  <c r="G32" i="78"/>
  <c r="L69" i="78"/>
  <c r="F104" i="78"/>
  <c r="J55" i="78"/>
  <c r="L55" i="78" s="1"/>
  <c r="F97" i="78"/>
  <c r="J54" i="78"/>
  <c r="L54" i="78" s="1"/>
  <c r="I8" i="78"/>
  <c r="H96" i="78" s="1"/>
  <c r="J66" i="78"/>
  <c r="H114" i="78"/>
  <c r="I25" i="78"/>
  <c r="G117" i="78"/>
  <c r="I6" i="78"/>
  <c r="H94" i="78" s="1"/>
  <c r="H11" i="78"/>
  <c r="F94" i="78"/>
  <c r="F99" i="78" s="1"/>
  <c r="F11" i="78"/>
  <c r="F32" i="78" s="1"/>
  <c r="H17" i="78"/>
  <c r="J61" i="78"/>
  <c r="L61" i="78" s="1"/>
  <c r="J78" i="78"/>
  <c r="F114" i="78"/>
  <c r="F116" i="78" s="1"/>
  <c r="H25" i="78"/>
  <c r="H31" i="78"/>
  <c r="I7" i="78"/>
  <c r="I12" i="78"/>
  <c r="I20" i="78"/>
  <c r="M22" i="78"/>
  <c r="F111" i="78"/>
  <c r="F112" i="78" s="1"/>
  <c r="L32" i="78"/>
  <c r="F6" i="77"/>
  <c r="J61" i="77"/>
  <c r="H13" i="77"/>
  <c r="F102" i="77" s="1"/>
  <c r="O12" i="77"/>
  <c r="N12" i="77"/>
  <c r="L12" i="77"/>
  <c r="K12" i="77"/>
  <c r="J12" i="77"/>
  <c r="I11" i="77"/>
  <c r="G12" i="77"/>
  <c r="H11" i="77"/>
  <c r="F12" i="77"/>
  <c r="H30" i="77"/>
  <c r="I30" i="77" s="1"/>
  <c r="J70" i="77" s="1"/>
  <c r="M28" i="77"/>
  <c r="M29" i="77"/>
  <c r="M32" i="77" s="1"/>
  <c r="M31" i="77"/>
  <c r="M27" i="77"/>
  <c r="M25" i="77"/>
  <c r="M24" i="77"/>
  <c r="M22" i="77"/>
  <c r="M21" i="77"/>
  <c r="M19" i="77"/>
  <c r="M14" i="77"/>
  <c r="M15" i="77"/>
  <c r="M13" i="77"/>
  <c r="M6" i="77"/>
  <c r="M7" i="77"/>
  <c r="M9" i="77"/>
  <c r="M10" i="77"/>
  <c r="M5" i="77"/>
  <c r="G117" i="77"/>
  <c r="G116" i="77"/>
  <c r="G115" i="77"/>
  <c r="G112" i="77"/>
  <c r="G113" i="77" s="1"/>
  <c r="H109" i="77"/>
  <c r="G109" i="77"/>
  <c r="F109" i="77"/>
  <c r="G108" i="77"/>
  <c r="H107" i="77"/>
  <c r="H110" i="77" s="1"/>
  <c r="G107" i="77"/>
  <c r="G110" i="77" s="1"/>
  <c r="F107" i="77"/>
  <c r="F110" i="77" s="1"/>
  <c r="G103" i="77"/>
  <c r="G102" i="77"/>
  <c r="H99" i="77"/>
  <c r="G99" i="77"/>
  <c r="F99" i="77"/>
  <c r="G98" i="77"/>
  <c r="G97" i="77"/>
  <c r="G96" i="77"/>
  <c r="G95" i="77"/>
  <c r="G94" i="77"/>
  <c r="K88" i="77"/>
  <c r="J87" i="77"/>
  <c r="L87" i="77" s="1"/>
  <c r="K85" i="77"/>
  <c r="L85" i="77" s="1"/>
  <c r="J84" i="77"/>
  <c r="L84" i="77" s="1"/>
  <c r="J83" i="77"/>
  <c r="L83" i="77" s="1"/>
  <c r="K81" i="77"/>
  <c r="J72" i="77"/>
  <c r="L72" i="77" s="1"/>
  <c r="J71" i="77"/>
  <c r="L71" i="77" s="1"/>
  <c r="D68" i="77"/>
  <c r="K65" i="77"/>
  <c r="J63" i="77"/>
  <c r="L63" i="77" s="1"/>
  <c r="D60" i="77"/>
  <c r="D54" i="77"/>
  <c r="O32" i="77"/>
  <c r="N32" i="77"/>
  <c r="L32" i="77"/>
  <c r="K32" i="77"/>
  <c r="J32" i="77"/>
  <c r="G32" i="77"/>
  <c r="F32" i="77"/>
  <c r="H31" i="77"/>
  <c r="I31" i="77" s="1"/>
  <c r="H29" i="77"/>
  <c r="I29" i="77" s="1"/>
  <c r="H28" i="77"/>
  <c r="F108" i="77" s="1"/>
  <c r="H27" i="77"/>
  <c r="O26" i="77"/>
  <c r="N26" i="77"/>
  <c r="L26" i="77"/>
  <c r="K26" i="77"/>
  <c r="J26" i="77"/>
  <c r="G26" i="77"/>
  <c r="F26" i="77"/>
  <c r="H25" i="77"/>
  <c r="F116" i="77" s="1"/>
  <c r="H24" i="77"/>
  <c r="O23" i="77"/>
  <c r="N23" i="77"/>
  <c r="L23" i="77"/>
  <c r="K23" i="77"/>
  <c r="J23" i="77"/>
  <c r="G23" i="77"/>
  <c r="F23" i="77"/>
  <c r="H22" i="77"/>
  <c r="I22" i="77" s="1"/>
  <c r="H21" i="77"/>
  <c r="H23" i="77" s="1"/>
  <c r="O20" i="77"/>
  <c r="N20" i="77"/>
  <c r="L20" i="77"/>
  <c r="K20" i="77"/>
  <c r="J20" i="77"/>
  <c r="G20" i="77"/>
  <c r="F20" i="77"/>
  <c r="H19" i="77"/>
  <c r="H20" i="77" s="1"/>
  <c r="O18" i="77"/>
  <c r="N18" i="77"/>
  <c r="L18" i="77"/>
  <c r="K18" i="77"/>
  <c r="J18" i="77"/>
  <c r="G18" i="77"/>
  <c r="F18" i="77"/>
  <c r="H17" i="77"/>
  <c r="I17" i="77" s="1"/>
  <c r="H16" i="77"/>
  <c r="I16" i="77" s="1"/>
  <c r="H15" i="77"/>
  <c r="I15" i="77" s="1"/>
  <c r="H14" i="77"/>
  <c r="F103" i="77" s="1"/>
  <c r="H10" i="77"/>
  <c r="I10" i="77" s="1"/>
  <c r="H9" i="77"/>
  <c r="I9" i="77" s="1"/>
  <c r="H98" i="77" s="1"/>
  <c r="H8" i="77"/>
  <c r="F97" i="77" s="1"/>
  <c r="H7" i="77"/>
  <c r="F96" i="77" s="1"/>
  <c r="H6" i="77"/>
  <c r="F95" i="77" s="1"/>
  <c r="H5" i="77"/>
  <c r="I5" i="77" s="1"/>
  <c r="J63" i="78" l="1"/>
  <c r="L63" i="78" s="1"/>
  <c r="I31" i="78"/>
  <c r="G38" i="78"/>
  <c r="D54" i="78" s="1"/>
  <c r="D55" i="78" s="1"/>
  <c r="D60" i="78" s="1"/>
  <c r="D68" i="78" s="1"/>
  <c r="D70" i="78" s="1"/>
  <c r="H115" i="78"/>
  <c r="H116" i="78" s="1"/>
  <c r="J79" i="78"/>
  <c r="L79" i="78" s="1"/>
  <c r="H93" i="78"/>
  <c r="J50" i="78"/>
  <c r="L50" i="78" s="1"/>
  <c r="J60" i="78"/>
  <c r="L60" i="78" s="1"/>
  <c r="I11" i="78"/>
  <c r="I22" i="78"/>
  <c r="H111" i="78"/>
  <c r="H112" i="78" s="1"/>
  <c r="H32" i="78"/>
  <c r="J74" i="78"/>
  <c r="H101" i="78"/>
  <c r="H104" i="78" s="1"/>
  <c r="I17" i="78"/>
  <c r="J51" i="78"/>
  <c r="L66" i="78"/>
  <c r="J72" i="78"/>
  <c r="L72" i="78" s="1"/>
  <c r="F117" i="78"/>
  <c r="J59" i="78"/>
  <c r="H95" i="78"/>
  <c r="H99" i="78" s="1"/>
  <c r="J52" i="78"/>
  <c r="L52" i="78" s="1"/>
  <c r="J80" i="78"/>
  <c r="L78" i="78"/>
  <c r="H12" i="77"/>
  <c r="J76" i="77"/>
  <c r="L76" i="77" s="1"/>
  <c r="I6" i="77"/>
  <c r="H95" i="77" s="1"/>
  <c r="G36" i="77"/>
  <c r="I25" i="77"/>
  <c r="H116" i="77" s="1"/>
  <c r="G37" i="77"/>
  <c r="I28" i="77"/>
  <c r="J69" i="77"/>
  <c r="L69" i="77" s="1"/>
  <c r="N33" i="77"/>
  <c r="H26" i="77"/>
  <c r="H32" i="77"/>
  <c r="J68" i="77"/>
  <c r="L68" i="77" s="1"/>
  <c r="L33" i="77"/>
  <c r="K33" i="77"/>
  <c r="G105" i="77"/>
  <c r="G118" i="77" s="1"/>
  <c r="L70" i="77"/>
  <c r="I14" i="77"/>
  <c r="H103" i="77" s="1"/>
  <c r="G35" i="77"/>
  <c r="G38" i="77"/>
  <c r="O33" i="77"/>
  <c r="G100" i="77"/>
  <c r="G34" i="77"/>
  <c r="G33" i="77"/>
  <c r="I8" i="77"/>
  <c r="F33" i="77"/>
  <c r="J56" i="77"/>
  <c r="L56" i="77" s="1"/>
  <c r="H94" i="77"/>
  <c r="J55" i="77"/>
  <c r="L55" i="77" s="1"/>
  <c r="J62" i="77"/>
  <c r="L62" i="77" s="1"/>
  <c r="F105" i="77"/>
  <c r="I7" i="77"/>
  <c r="H96" i="77" s="1"/>
  <c r="M20" i="77"/>
  <c r="I21" i="77"/>
  <c r="J75" i="77" s="1"/>
  <c r="M23" i="77"/>
  <c r="I24" i="77"/>
  <c r="M26" i="77"/>
  <c r="I27" i="77"/>
  <c r="I32" i="77" s="1"/>
  <c r="F115" i="77"/>
  <c r="F117" i="77" s="1"/>
  <c r="J33" i="77"/>
  <c r="J51" i="77"/>
  <c r="F94" i="77"/>
  <c r="F98" i="77"/>
  <c r="I13" i="77"/>
  <c r="H18" i="77"/>
  <c r="F112" i="77"/>
  <c r="F113" i="77" s="1"/>
  <c r="M18" i="77"/>
  <c r="I19" i="77"/>
  <c r="I20" i="77" s="1"/>
  <c r="J60" i="76"/>
  <c r="I14" i="76"/>
  <c r="H14" i="76"/>
  <c r="I32" i="78" l="1"/>
  <c r="H117" i="78"/>
  <c r="L51" i="78"/>
  <c r="L80" i="78"/>
  <c r="J64" i="78"/>
  <c r="L64" i="78" s="1"/>
  <c r="L59" i="78"/>
  <c r="L74" i="78"/>
  <c r="J76" i="78"/>
  <c r="L76" i="78" s="1"/>
  <c r="J52" i="77"/>
  <c r="L52" i="77" s="1"/>
  <c r="H97" i="77"/>
  <c r="I12" i="77"/>
  <c r="G39" i="77"/>
  <c r="D55" i="77" s="1"/>
  <c r="D56" i="77" s="1"/>
  <c r="D61" i="77" s="1"/>
  <c r="D69" i="77" s="1"/>
  <c r="D71" i="77" s="1"/>
  <c r="J80" i="77"/>
  <c r="L80" i="77" s="1"/>
  <c r="F100" i="77"/>
  <c r="L61" i="77"/>
  <c r="J67" i="77"/>
  <c r="J73" i="77" s="1"/>
  <c r="L73" i="77" s="1"/>
  <c r="F118" i="77"/>
  <c r="H33" i="77"/>
  <c r="L75" i="77"/>
  <c r="J77" i="77"/>
  <c r="L77" i="77" s="1"/>
  <c r="L51" i="77"/>
  <c r="J64" i="77"/>
  <c r="L64" i="77" s="1"/>
  <c r="I18" i="77"/>
  <c r="H102" i="77"/>
  <c r="H105" i="77" s="1"/>
  <c r="H115" i="77"/>
  <c r="H117" i="77" s="1"/>
  <c r="I26" i="77"/>
  <c r="J53" i="77"/>
  <c r="L53" i="77" s="1"/>
  <c r="H112" i="77"/>
  <c r="H113" i="77" s="1"/>
  <c r="I23" i="77"/>
  <c r="J79" i="77"/>
  <c r="J60" i="77"/>
  <c r="H100" i="77"/>
  <c r="M28" i="76"/>
  <c r="M29" i="76"/>
  <c r="M30" i="76"/>
  <c r="M27" i="76"/>
  <c r="M31" i="76" s="1"/>
  <c r="M25" i="76"/>
  <c r="M24" i="76"/>
  <c r="M22" i="76"/>
  <c r="M21" i="76"/>
  <c r="M19" i="76"/>
  <c r="M13" i="76"/>
  <c r="M15" i="76"/>
  <c r="M12" i="76"/>
  <c r="M6" i="76"/>
  <c r="M7" i="76"/>
  <c r="M9" i="76"/>
  <c r="M10" i="76"/>
  <c r="M5" i="76"/>
  <c r="G115" i="76"/>
  <c r="G114" i="76"/>
  <c r="G116" i="76" s="1"/>
  <c r="G111" i="76"/>
  <c r="G112" i="76" s="1"/>
  <c r="H108" i="76"/>
  <c r="G108" i="76"/>
  <c r="F108" i="76"/>
  <c r="G107" i="76"/>
  <c r="H106" i="76"/>
  <c r="H109" i="76" s="1"/>
  <c r="G106" i="76"/>
  <c r="G109" i="76" s="1"/>
  <c r="F106" i="76"/>
  <c r="F109" i="76" s="1"/>
  <c r="G102" i="76"/>
  <c r="G101" i="76"/>
  <c r="G104" i="76" s="1"/>
  <c r="H98" i="76"/>
  <c r="G98" i="76"/>
  <c r="F98" i="76"/>
  <c r="G97" i="76"/>
  <c r="G96" i="76"/>
  <c r="G95" i="76"/>
  <c r="G94" i="76"/>
  <c r="G93" i="76"/>
  <c r="K87" i="76"/>
  <c r="J86" i="76"/>
  <c r="L86" i="76" s="1"/>
  <c r="K84" i="76"/>
  <c r="L84" i="76" s="1"/>
  <c r="J83" i="76"/>
  <c r="L83" i="76" s="1"/>
  <c r="J82" i="76"/>
  <c r="L82" i="76" s="1"/>
  <c r="K80" i="76"/>
  <c r="J71" i="76"/>
  <c r="L71" i="76" s="1"/>
  <c r="J70" i="76"/>
  <c r="L70" i="76" s="1"/>
  <c r="D67" i="76"/>
  <c r="K64" i="76"/>
  <c r="J62" i="76"/>
  <c r="L62" i="76" s="1"/>
  <c r="D59" i="76"/>
  <c r="D53" i="76"/>
  <c r="O31" i="76"/>
  <c r="N31" i="76"/>
  <c r="L31" i="76"/>
  <c r="K31" i="76"/>
  <c r="J31" i="76"/>
  <c r="G31" i="76"/>
  <c r="F31" i="76"/>
  <c r="H30" i="76"/>
  <c r="I30" i="76" s="1"/>
  <c r="H29" i="76"/>
  <c r="I29" i="76" s="1"/>
  <c r="J68" i="76" s="1"/>
  <c r="L68" i="76" s="1"/>
  <c r="H28" i="76"/>
  <c r="F107" i="76" s="1"/>
  <c r="H27" i="76"/>
  <c r="O26" i="76"/>
  <c r="N26" i="76"/>
  <c r="L26" i="76"/>
  <c r="K26" i="76"/>
  <c r="J26" i="76"/>
  <c r="G26" i="76"/>
  <c r="F26" i="76"/>
  <c r="H25" i="76"/>
  <c r="F115" i="76" s="1"/>
  <c r="H24" i="76"/>
  <c r="H26" i="76" s="1"/>
  <c r="O23" i="76"/>
  <c r="N23" i="76"/>
  <c r="L23" i="76"/>
  <c r="K23" i="76"/>
  <c r="J23" i="76"/>
  <c r="G23" i="76"/>
  <c r="F23" i="76"/>
  <c r="H22" i="76"/>
  <c r="I22" i="76" s="1"/>
  <c r="H21" i="76"/>
  <c r="O20" i="76"/>
  <c r="N20" i="76"/>
  <c r="L20" i="76"/>
  <c r="K20" i="76"/>
  <c r="J20" i="76"/>
  <c r="G20" i="76"/>
  <c r="F20" i="76"/>
  <c r="H19" i="76"/>
  <c r="H20" i="76" s="1"/>
  <c r="O18" i="76"/>
  <c r="N18" i="76"/>
  <c r="L18" i="76"/>
  <c r="K18" i="76"/>
  <c r="J18" i="76"/>
  <c r="G18" i="76"/>
  <c r="F18" i="76"/>
  <c r="H17" i="76"/>
  <c r="I17" i="76" s="1"/>
  <c r="H16" i="76"/>
  <c r="I16" i="76" s="1"/>
  <c r="H15" i="76"/>
  <c r="I15" i="76" s="1"/>
  <c r="H13" i="76"/>
  <c r="F102" i="76" s="1"/>
  <c r="H12" i="76"/>
  <c r="F101" i="76" s="1"/>
  <c r="O11" i="76"/>
  <c r="N11" i="76"/>
  <c r="L11" i="76"/>
  <c r="K11" i="76"/>
  <c r="J11" i="76"/>
  <c r="G11" i="76"/>
  <c r="F11" i="76"/>
  <c r="H10" i="76"/>
  <c r="I10" i="76" s="1"/>
  <c r="H9" i="76"/>
  <c r="I9" i="76" s="1"/>
  <c r="H97" i="76" s="1"/>
  <c r="H8" i="76"/>
  <c r="F96" i="76" s="1"/>
  <c r="H7" i="76"/>
  <c r="F95" i="76" s="1"/>
  <c r="H6" i="76"/>
  <c r="I6" i="76" s="1"/>
  <c r="H94" i="76" s="1"/>
  <c r="H5" i="76"/>
  <c r="I5" i="76" s="1"/>
  <c r="L67" i="77" l="1"/>
  <c r="I33" i="77"/>
  <c r="J65" i="77"/>
  <c r="L65" i="77" s="1"/>
  <c r="L60" i="77"/>
  <c r="H118" i="77"/>
  <c r="L79" i="77"/>
  <c r="J81" i="77"/>
  <c r="I25" i="76"/>
  <c r="H115" i="76" s="1"/>
  <c r="H31" i="76"/>
  <c r="J75" i="76"/>
  <c r="L75" i="76" s="1"/>
  <c r="G36" i="76"/>
  <c r="I28" i="76"/>
  <c r="J67" i="76" s="1"/>
  <c r="L67" i="76" s="1"/>
  <c r="H23" i="76"/>
  <c r="N32" i="76"/>
  <c r="G99" i="76"/>
  <c r="G117" i="76" s="1"/>
  <c r="I19" i="76"/>
  <c r="G35" i="76"/>
  <c r="J79" i="76"/>
  <c r="L79" i="76" s="1"/>
  <c r="K32" i="76"/>
  <c r="L32" i="76"/>
  <c r="G37" i="76"/>
  <c r="G34" i="76"/>
  <c r="J32" i="76"/>
  <c r="G33" i="76"/>
  <c r="G32" i="76"/>
  <c r="J69" i="76"/>
  <c r="L69" i="76" s="1"/>
  <c r="I13" i="76"/>
  <c r="H102" i="76" s="1"/>
  <c r="F104" i="76"/>
  <c r="I8" i="76"/>
  <c r="H96" i="76" s="1"/>
  <c r="J51" i="76"/>
  <c r="L51" i="76" s="1"/>
  <c r="F32" i="76"/>
  <c r="H93" i="76"/>
  <c r="J55" i="76"/>
  <c r="L55" i="76" s="1"/>
  <c r="J61" i="76"/>
  <c r="L61" i="76" s="1"/>
  <c r="J54" i="76"/>
  <c r="L54" i="76" s="1"/>
  <c r="I7" i="76"/>
  <c r="H95" i="76" s="1"/>
  <c r="M20" i="76"/>
  <c r="I21" i="76"/>
  <c r="M23" i="76"/>
  <c r="I24" i="76"/>
  <c r="J78" i="76" s="1"/>
  <c r="M26" i="76"/>
  <c r="I27" i="76"/>
  <c r="I31" i="76" s="1"/>
  <c r="F94" i="76"/>
  <c r="F114" i="76"/>
  <c r="F116" i="76" s="1"/>
  <c r="H11" i="76"/>
  <c r="J50" i="76"/>
  <c r="F93" i="76"/>
  <c r="F97" i="76"/>
  <c r="I12" i="76"/>
  <c r="H18" i="76"/>
  <c r="O32" i="76"/>
  <c r="F111" i="76"/>
  <c r="F112" i="76" s="1"/>
  <c r="M18" i="76"/>
  <c r="M29" i="75"/>
  <c r="M30" i="75"/>
  <c r="M31" i="75"/>
  <c r="M28" i="75"/>
  <c r="M26" i="75"/>
  <c r="M25" i="75"/>
  <c r="M23" i="75"/>
  <c r="M22" i="75"/>
  <c r="M16" i="75"/>
  <c r="M20" i="75"/>
  <c r="M15" i="75"/>
  <c r="M19" i="75" s="1"/>
  <c r="M13" i="75"/>
  <c r="M6" i="75"/>
  <c r="M7" i="75"/>
  <c r="M9" i="75"/>
  <c r="M10" i="75"/>
  <c r="M5" i="75"/>
  <c r="I14" i="75"/>
  <c r="H14" i="75"/>
  <c r="N12" i="75"/>
  <c r="L12" i="75"/>
  <c r="K12" i="75"/>
  <c r="G117" i="75"/>
  <c r="G116" i="75"/>
  <c r="G115" i="75"/>
  <c r="G112" i="75"/>
  <c r="G113" i="75" s="1"/>
  <c r="H109" i="75"/>
  <c r="G109" i="75"/>
  <c r="F109" i="75"/>
  <c r="G108" i="75"/>
  <c r="H107" i="75"/>
  <c r="H110" i="75" s="1"/>
  <c r="G107" i="75"/>
  <c r="G110" i="75" s="1"/>
  <c r="F107" i="75"/>
  <c r="F110" i="75" s="1"/>
  <c r="G103" i="75"/>
  <c r="G102" i="75"/>
  <c r="G105" i="75" s="1"/>
  <c r="H99" i="75"/>
  <c r="G99" i="75"/>
  <c r="F99" i="75"/>
  <c r="G98" i="75"/>
  <c r="G97" i="75"/>
  <c r="G96" i="75"/>
  <c r="G95" i="75"/>
  <c r="G94" i="75"/>
  <c r="K88" i="75"/>
  <c r="J87" i="75"/>
  <c r="L87" i="75" s="1"/>
  <c r="K85" i="75"/>
  <c r="L85" i="75" s="1"/>
  <c r="J84" i="75"/>
  <c r="L84" i="75" s="1"/>
  <c r="J83" i="75"/>
  <c r="L83" i="75" s="1"/>
  <c r="K81" i="75"/>
  <c r="J72" i="75"/>
  <c r="L72" i="75" s="1"/>
  <c r="J71" i="75"/>
  <c r="L71" i="75" s="1"/>
  <c r="D68" i="75"/>
  <c r="K65" i="75"/>
  <c r="L63" i="75"/>
  <c r="J63" i="75"/>
  <c r="D60" i="75"/>
  <c r="D54" i="75"/>
  <c r="O32" i="75"/>
  <c r="N32" i="75"/>
  <c r="L32" i="75"/>
  <c r="K32" i="75"/>
  <c r="J32" i="75"/>
  <c r="G32" i="75"/>
  <c r="F32" i="75"/>
  <c r="H31" i="75"/>
  <c r="I31" i="75" s="1"/>
  <c r="H30" i="75"/>
  <c r="I30" i="75" s="1"/>
  <c r="J69" i="75" s="1"/>
  <c r="L69" i="75" s="1"/>
  <c r="H29" i="75"/>
  <c r="F108" i="75" s="1"/>
  <c r="H28" i="75"/>
  <c r="O27" i="75"/>
  <c r="G37" i="75" s="1"/>
  <c r="N27" i="75"/>
  <c r="L27" i="75"/>
  <c r="K27" i="75"/>
  <c r="J27" i="75"/>
  <c r="G27" i="75"/>
  <c r="F27" i="75"/>
  <c r="I26" i="75"/>
  <c r="H116" i="75" s="1"/>
  <c r="H26" i="75"/>
  <c r="F116" i="75" s="1"/>
  <c r="H25" i="75"/>
  <c r="F115" i="75" s="1"/>
  <c r="F117" i="75" s="1"/>
  <c r="O24" i="75"/>
  <c r="G36" i="75" s="1"/>
  <c r="N24" i="75"/>
  <c r="L24" i="75"/>
  <c r="K24" i="75"/>
  <c r="J24" i="75"/>
  <c r="G24" i="75"/>
  <c r="F24" i="75"/>
  <c r="H23" i="75"/>
  <c r="I23" i="75" s="1"/>
  <c r="J76" i="75" s="1"/>
  <c r="L76" i="75" s="1"/>
  <c r="H22" i="75"/>
  <c r="F112" i="75" s="1"/>
  <c r="F113" i="75" s="1"/>
  <c r="O21" i="75"/>
  <c r="N21" i="75"/>
  <c r="L21" i="75"/>
  <c r="K21" i="75"/>
  <c r="J21" i="75"/>
  <c r="G21" i="75"/>
  <c r="F21" i="75"/>
  <c r="H20" i="75"/>
  <c r="H21" i="75" s="1"/>
  <c r="O19" i="75"/>
  <c r="N19" i="75"/>
  <c r="L19" i="75"/>
  <c r="K19" i="75"/>
  <c r="J19" i="75"/>
  <c r="G19" i="75"/>
  <c r="F19" i="75"/>
  <c r="I18" i="75"/>
  <c r="H18" i="75"/>
  <c r="I17" i="75"/>
  <c r="H17" i="75"/>
  <c r="H16" i="75"/>
  <c r="I16" i="75" s="1"/>
  <c r="H15" i="75"/>
  <c r="F103" i="75" s="1"/>
  <c r="H13" i="75"/>
  <c r="F102" i="75" s="1"/>
  <c r="O12" i="75"/>
  <c r="J12" i="75"/>
  <c r="G12" i="75"/>
  <c r="F12" i="75"/>
  <c r="H10" i="75"/>
  <c r="I10" i="75" s="1"/>
  <c r="H9" i="75"/>
  <c r="F98" i="75" s="1"/>
  <c r="H8" i="75"/>
  <c r="F97" i="75" s="1"/>
  <c r="H7" i="75"/>
  <c r="F96" i="75" s="1"/>
  <c r="H6" i="75"/>
  <c r="F95" i="75" s="1"/>
  <c r="H5" i="75"/>
  <c r="F94" i="75" s="1"/>
  <c r="L81" i="77" l="1"/>
  <c r="I20" i="76"/>
  <c r="J63" i="76"/>
  <c r="L63" i="76" s="1"/>
  <c r="L60" i="76"/>
  <c r="G38" i="76"/>
  <c r="D54" i="76" s="1"/>
  <c r="D55" i="76" s="1"/>
  <c r="D60" i="76" s="1"/>
  <c r="D68" i="76" s="1"/>
  <c r="D70" i="76" s="1"/>
  <c r="F99" i="76"/>
  <c r="F117" i="76" s="1"/>
  <c r="H32" i="76"/>
  <c r="L78" i="76"/>
  <c r="J80" i="76"/>
  <c r="J66" i="76"/>
  <c r="I18" i="76"/>
  <c r="H101" i="76"/>
  <c r="H104" i="76" s="1"/>
  <c r="L50" i="76"/>
  <c r="H111" i="76"/>
  <c r="H112" i="76" s="1"/>
  <c r="I23" i="76"/>
  <c r="I11" i="76"/>
  <c r="J59" i="76"/>
  <c r="J74" i="76"/>
  <c r="H99" i="76"/>
  <c r="H114" i="76"/>
  <c r="H116" i="76" s="1"/>
  <c r="I26" i="76"/>
  <c r="J52" i="76"/>
  <c r="L52" i="76" s="1"/>
  <c r="J70" i="75"/>
  <c r="L70" i="75" s="1"/>
  <c r="G100" i="75"/>
  <c r="K33" i="75"/>
  <c r="I29" i="75"/>
  <c r="J68" i="75" s="1"/>
  <c r="L68" i="75" s="1"/>
  <c r="I20" i="75"/>
  <c r="J80" i="75"/>
  <c r="L80" i="75" s="1"/>
  <c r="H32" i="75"/>
  <c r="I6" i="75"/>
  <c r="H95" i="75" s="1"/>
  <c r="I15" i="75"/>
  <c r="N33" i="75"/>
  <c r="G35" i="75"/>
  <c r="L33" i="75"/>
  <c r="J33" i="75"/>
  <c r="G34" i="75"/>
  <c r="G33" i="75"/>
  <c r="I7" i="75"/>
  <c r="H96" i="75" s="1"/>
  <c r="J56" i="75"/>
  <c r="L56" i="75" s="1"/>
  <c r="F33" i="75"/>
  <c r="F100" i="75"/>
  <c r="F105" i="75"/>
  <c r="G118" i="75"/>
  <c r="H12" i="75"/>
  <c r="H24" i="75"/>
  <c r="H27" i="75"/>
  <c r="J52" i="75"/>
  <c r="L52" i="75" s="1"/>
  <c r="I5" i="75"/>
  <c r="J51" i="75" s="1"/>
  <c r="I9" i="75"/>
  <c r="I13" i="75"/>
  <c r="M21" i="75"/>
  <c r="I22" i="75"/>
  <c r="M24" i="75"/>
  <c r="I25" i="75"/>
  <c r="J79" i="75" s="1"/>
  <c r="M27" i="75"/>
  <c r="I28" i="75"/>
  <c r="I32" i="75" s="1"/>
  <c r="J62" i="75"/>
  <c r="L62" i="75" s="1"/>
  <c r="G38" i="75"/>
  <c r="H97" i="75"/>
  <c r="H19" i="75"/>
  <c r="M32" i="75"/>
  <c r="O33" i="75"/>
  <c r="J59" i="74"/>
  <c r="J54" i="74"/>
  <c r="H117" i="76" l="1"/>
  <c r="I32" i="76"/>
  <c r="J64" i="76"/>
  <c r="L64" i="76" s="1"/>
  <c r="L59" i="76"/>
  <c r="L66" i="76"/>
  <c r="J72" i="76"/>
  <c r="L72" i="76" s="1"/>
  <c r="L80" i="76"/>
  <c r="L74" i="76"/>
  <c r="J76" i="76"/>
  <c r="L76" i="76" s="1"/>
  <c r="I21" i="75"/>
  <c r="J64" i="75"/>
  <c r="L64" i="75" s="1"/>
  <c r="J53" i="75"/>
  <c r="L53" i="75" s="1"/>
  <c r="H33" i="75"/>
  <c r="H103" i="75"/>
  <c r="J61" i="75"/>
  <c r="L61" i="75" s="1"/>
  <c r="G39" i="75"/>
  <c r="D55" i="75" s="1"/>
  <c r="D56" i="75" s="1"/>
  <c r="D61" i="75" s="1"/>
  <c r="D69" i="75" s="1"/>
  <c r="D71" i="75" s="1"/>
  <c r="F118" i="75"/>
  <c r="L51" i="75"/>
  <c r="L79" i="75"/>
  <c r="J81" i="75"/>
  <c r="J60" i="75"/>
  <c r="I19" i="75"/>
  <c r="H102" i="75"/>
  <c r="H105" i="75" s="1"/>
  <c r="J67" i="75"/>
  <c r="H112" i="75"/>
  <c r="H113" i="75" s="1"/>
  <c r="I24" i="75"/>
  <c r="H98" i="75"/>
  <c r="J55" i="75"/>
  <c r="L55" i="75" s="1"/>
  <c r="H115" i="75"/>
  <c r="H117" i="75" s="1"/>
  <c r="I27" i="75"/>
  <c r="H94" i="75"/>
  <c r="H100" i="75" s="1"/>
  <c r="I12" i="75"/>
  <c r="J75" i="75"/>
  <c r="J11" i="74"/>
  <c r="I33" i="75" l="1"/>
  <c r="L81" i="75"/>
  <c r="H118" i="75"/>
  <c r="L75" i="75"/>
  <c r="J77" i="75"/>
  <c r="L77" i="75" s="1"/>
  <c r="L67" i="75"/>
  <c r="J73" i="75"/>
  <c r="L73" i="75" s="1"/>
  <c r="J65" i="75"/>
  <c r="L65" i="75" s="1"/>
  <c r="L60" i="75"/>
  <c r="M27" i="74"/>
  <c r="M28" i="74"/>
  <c r="M29" i="74"/>
  <c r="M26" i="74"/>
  <c r="M24" i="74"/>
  <c r="M23" i="74"/>
  <c r="M21" i="74"/>
  <c r="M20" i="74"/>
  <c r="M18" i="74"/>
  <c r="M13" i="74"/>
  <c r="M14" i="74"/>
  <c r="M12" i="74"/>
  <c r="M6" i="74"/>
  <c r="M7" i="74"/>
  <c r="M9" i="74"/>
  <c r="M10" i="74"/>
  <c r="M5" i="74"/>
  <c r="G114" i="74"/>
  <c r="G113" i="74"/>
  <c r="G115" i="74" s="1"/>
  <c r="G110" i="74"/>
  <c r="G111" i="74" s="1"/>
  <c r="H107" i="74"/>
  <c r="G107" i="74"/>
  <c r="F107" i="74"/>
  <c r="G106" i="74"/>
  <c r="H105" i="74"/>
  <c r="H108" i="74" s="1"/>
  <c r="G105" i="74"/>
  <c r="G108" i="74" s="1"/>
  <c r="F105" i="74"/>
  <c r="F108" i="74" s="1"/>
  <c r="G101" i="74"/>
  <c r="G100" i="74"/>
  <c r="G103" i="74" s="1"/>
  <c r="H97" i="74"/>
  <c r="G97" i="74"/>
  <c r="F97" i="74"/>
  <c r="G96" i="74"/>
  <c r="G95" i="74"/>
  <c r="G94" i="74"/>
  <c r="G93" i="74"/>
  <c r="G92" i="74"/>
  <c r="K86" i="74"/>
  <c r="J85" i="74"/>
  <c r="L85" i="74" s="1"/>
  <c r="K83" i="74"/>
  <c r="L83" i="74" s="1"/>
  <c r="J82" i="74"/>
  <c r="L82" i="74" s="1"/>
  <c r="J81" i="74"/>
  <c r="L81" i="74" s="1"/>
  <c r="K79" i="74"/>
  <c r="J70" i="74"/>
  <c r="L70" i="74" s="1"/>
  <c r="J69" i="74"/>
  <c r="L69" i="74" s="1"/>
  <c r="D66" i="74"/>
  <c r="K63" i="74"/>
  <c r="J61" i="74"/>
  <c r="L61" i="74" s="1"/>
  <c r="D58" i="74"/>
  <c r="D52" i="74"/>
  <c r="O30" i="74"/>
  <c r="N30" i="74"/>
  <c r="L30" i="74"/>
  <c r="K30" i="74"/>
  <c r="J30" i="74"/>
  <c r="G30" i="74"/>
  <c r="F30" i="74"/>
  <c r="H29" i="74"/>
  <c r="I29" i="74" s="1"/>
  <c r="H28" i="74"/>
  <c r="I28" i="74" s="1"/>
  <c r="J67" i="74" s="1"/>
  <c r="L67" i="74" s="1"/>
  <c r="H27" i="74"/>
  <c r="I27" i="74" s="1"/>
  <c r="J66" i="74" s="1"/>
  <c r="L66" i="74" s="1"/>
  <c r="H26" i="74"/>
  <c r="O25" i="74"/>
  <c r="N25" i="74"/>
  <c r="L25" i="74"/>
  <c r="K25" i="74"/>
  <c r="J25" i="74"/>
  <c r="G25" i="74"/>
  <c r="F25" i="74"/>
  <c r="H24" i="74"/>
  <c r="F114" i="74" s="1"/>
  <c r="H23" i="74"/>
  <c r="O22" i="74"/>
  <c r="N22" i="74"/>
  <c r="L22" i="74"/>
  <c r="K22" i="74"/>
  <c r="J22" i="74"/>
  <c r="G22" i="74"/>
  <c r="F22" i="74"/>
  <c r="H21" i="74"/>
  <c r="I21" i="74" s="1"/>
  <c r="H20" i="74"/>
  <c r="O19" i="74"/>
  <c r="N19" i="74"/>
  <c r="L19" i="74"/>
  <c r="K19" i="74"/>
  <c r="J19" i="74"/>
  <c r="G19" i="74"/>
  <c r="F19" i="74"/>
  <c r="H18" i="74"/>
  <c r="H19" i="74" s="1"/>
  <c r="O17" i="74"/>
  <c r="N17" i="74"/>
  <c r="L17" i="74"/>
  <c r="K17" i="74"/>
  <c r="J17" i="74"/>
  <c r="G17" i="74"/>
  <c r="F17" i="74"/>
  <c r="H16" i="74"/>
  <c r="I16" i="74" s="1"/>
  <c r="H15" i="74"/>
  <c r="I15" i="74" s="1"/>
  <c r="H14" i="74"/>
  <c r="I14" i="74" s="1"/>
  <c r="J60" i="74" s="1"/>
  <c r="L60" i="74" s="1"/>
  <c r="H13" i="74"/>
  <c r="I13" i="74" s="1"/>
  <c r="H101" i="74" s="1"/>
  <c r="H12" i="74"/>
  <c r="F100" i="74" s="1"/>
  <c r="O11" i="74"/>
  <c r="N11" i="74"/>
  <c r="L11" i="74"/>
  <c r="K11" i="74"/>
  <c r="G11" i="74"/>
  <c r="F11" i="74"/>
  <c r="H10" i="74"/>
  <c r="I10" i="74" s="1"/>
  <c r="H9" i="74"/>
  <c r="I9" i="74" s="1"/>
  <c r="H96" i="74" s="1"/>
  <c r="H8" i="74"/>
  <c r="I8" i="74" s="1"/>
  <c r="H95" i="74" s="1"/>
  <c r="H7" i="74"/>
  <c r="F94" i="74" s="1"/>
  <c r="H6" i="74"/>
  <c r="I6" i="74" s="1"/>
  <c r="H93" i="74" s="1"/>
  <c r="H5" i="74"/>
  <c r="M30" i="74" l="1"/>
  <c r="G98" i="74"/>
  <c r="H25" i="74"/>
  <c r="N31" i="74"/>
  <c r="H22" i="74"/>
  <c r="G34" i="74"/>
  <c r="G35" i="74"/>
  <c r="K31" i="74"/>
  <c r="H30" i="74"/>
  <c r="L31" i="74"/>
  <c r="G36" i="74"/>
  <c r="G33" i="74"/>
  <c r="J31" i="74"/>
  <c r="G32" i="74"/>
  <c r="G31" i="74"/>
  <c r="I12" i="74"/>
  <c r="J58" i="74" s="1"/>
  <c r="L58" i="74" s="1"/>
  <c r="J53" i="74"/>
  <c r="L53" i="74" s="1"/>
  <c r="H11" i="74"/>
  <c r="I7" i="74"/>
  <c r="H94" i="74" s="1"/>
  <c r="J50" i="74"/>
  <c r="L50" i="74" s="1"/>
  <c r="F31" i="74"/>
  <c r="L59" i="74"/>
  <c r="J68" i="74"/>
  <c r="L68" i="74" s="1"/>
  <c r="G116" i="74"/>
  <c r="L54" i="74"/>
  <c r="J74" i="74"/>
  <c r="L74" i="74" s="1"/>
  <c r="M19" i="74"/>
  <c r="I20" i="74"/>
  <c r="M22" i="74"/>
  <c r="I23" i="74"/>
  <c r="M25" i="74"/>
  <c r="I26" i="74"/>
  <c r="I30" i="74" s="1"/>
  <c r="F93" i="74"/>
  <c r="F113" i="74"/>
  <c r="F115" i="74" s="1"/>
  <c r="F92" i="74"/>
  <c r="F96" i="74"/>
  <c r="F101" i="74"/>
  <c r="F103" i="74" s="1"/>
  <c r="I5" i="74"/>
  <c r="H17" i="74"/>
  <c r="O31" i="74"/>
  <c r="F95" i="74"/>
  <c r="F106" i="74"/>
  <c r="F110" i="74"/>
  <c r="F111" i="74" s="1"/>
  <c r="M17" i="74"/>
  <c r="I18" i="74"/>
  <c r="I19" i="74" s="1"/>
  <c r="I24" i="74"/>
  <c r="H114" i="74" s="1"/>
  <c r="J57" i="72"/>
  <c r="H31" i="74" l="1"/>
  <c r="H100" i="74"/>
  <c r="H103" i="74" s="1"/>
  <c r="I17" i="74"/>
  <c r="G37" i="74"/>
  <c r="D53" i="74" s="1"/>
  <c r="D54" i="74" s="1"/>
  <c r="D59" i="74" s="1"/>
  <c r="D67" i="74" s="1"/>
  <c r="D69" i="74" s="1"/>
  <c r="F98" i="74"/>
  <c r="F116" i="74" s="1"/>
  <c r="J51" i="74"/>
  <c r="L51" i="74" s="1"/>
  <c r="H92" i="74"/>
  <c r="H98" i="74" s="1"/>
  <c r="I11" i="74"/>
  <c r="H110" i="74"/>
  <c r="H111" i="74" s="1"/>
  <c r="I22" i="74"/>
  <c r="H113" i="74"/>
  <c r="H115" i="74" s="1"/>
  <c r="I25" i="74"/>
  <c r="J77" i="74"/>
  <c r="J49" i="74"/>
  <c r="J62" i="74"/>
  <c r="J65" i="74"/>
  <c r="J73" i="74"/>
  <c r="J78" i="74"/>
  <c r="L78" i="74" s="1"/>
  <c r="J62" i="72"/>
  <c r="I31" i="74" l="1"/>
  <c r="H116" i="74"/>
  <c r="L62" i="74"/>
  <c r="J63" i="74"/>
  <c r="L63" i="74" s="1"/>
  <c r="L49" i="74"/>
  <c r="L73" i="74"/>
  <c r="J75" i="74"/>
  <c r="L75" i="74" s="1"/>
  <c r="L77" i="74"/>
  <c r="J79" i="74"/>
  <c r="L65" i="74"/>
  <c r="J71" i="74"/>
  <c r="L71" i="74" s="1"/>
  <c r="I16" i="72"/>
  <c r="H16" i="72"/>
  <c r="L79" i="74" l="1"/>
  <c r="O12" i="72"/>
  <c r="N12" i="72"/>
  <c r="L12" i="72"/>
  <c r="K12" i="72"/>
  <c r="H15" i="72"/>
  <c r="I15" i="72" s="1"/>
  <c r="J12" i="72"/>
  <c r="G12" i="72"/>
  <c r="H11" i="72"/>
  <c r="I11" i="72" s="1"/>
  <c r="F12" i="72"/>
  <c r="M30" i="72" l="1"/>
  <c r="M31" i="72"/>
  <c r="M32" i="72"/>
  <c r="M29" i="72"/>
  <c r="M33" i="72" s="1"/>
  <c r="M27" i="72"/>
  <c r="M26" i="72"/>
  <c r="M24" i="72"/>
  <c r="M23" i="72"/>
  <c r="M21" i="72"/>
  <c r="M14" i="72"/>
  <c r="M17" i="72"/>
  <c r="M13" i="72"/>
  <c r="M6" i="72"/>
  <c r="M7" i="72"/>
  <c r="M8" i="72"/>
  <c r="M9" i="72"/>
  <c r="M10" i="72"/>
  <c r="M5" i="72"/>
  <c r="G117" i="72"/>
  <c r="G118" i="72" s="1"/>
  <c r="G116" i="72"/>
  <c r="G113" i="72"/>
  <c r="G114" i="72" s="1"/>
  <c r="H110" i="72"/>
  <c r="G110" i="72"/>
  <c r="F110" i="72"/>
  <c r="G109" i="72"/>
  <c r="H108" i="72"/>
  <c r="H111" i="72" s="1"/>
  <c r="G108" i="72"/>
  <c r="G111" i="72" s="1"/>
  <c r="F108" i="72"/>
  <c r="F111" i="72" s="1"/>
  <c r="G104" i="72"/>
  <c r="G103" i="72"/>
  <c r="G106" i="72" s="1"/>
  <c r="H100" i="72"/>
  <c r="G100" i="72"/>
  <c r="F100" i="72"/>
  <c r="G99" i="72"/>
  <c r="G98" i="72"/>
  <c r="G97" i="72"/>
  <c r="G101" i="72" s="1"/>
  <c r="G96" i="72"/>
  <c r="G95" i="72"/>
  <c r="K89" i="72"/>
  <c r="J88" i="72"/>
  <c r="L88" i="72" s="1"/>
  <c r="L86" i="72"/>
  <c r="K86" i="72"/>
  <c r="J85" i="72"/>
  <c r="L85" i="72" s="1"/>
  <c r="J84" i="72"/>
  <c r="L84" i="72" s="1"/>
  <c r="K82" i="72"/>
  <c r="J73" i="72"/>
  <c r="L73" i="72" s="1"/>
  <c r="J72" i="72"/>
  <c r="L72" i="72" s="1"/>
  <c r="D69" i="72"/>
  <c r="K66" i="72"/>
  <c r="L64" i="72"/>
  <c r="J64" i="72"/>
  <c r="D61" i="72"/>
  <c r="D55" i="72"/>
  <c r="O33" i="72"/>
  <c r="N33" i="72"/>
  <c r="L33" i="72"/>
  <c r="K33" i="72"/>
  <c r="J33" i="72"/>
  <c r="G33" i="72"/>
  <c r="F33" i="72"/>
  <c r="H32" i="72"/>
  <c r="I32" i="72" s="1"/>
  <c r="H31" i="72"/>
  <c r="I31" i="72" s="1"/>
  <c r="J70" i="72" s="1"/>
  <c r="L70" i="72" s="1"/>
  <c r="J69" i="72"/>
  <c r="L69" i="72" s="1"/>
  <c r="H30" i="72"/>
  <c r="I30" i="72" s="1"/>
  <c r="H29" i="72"/>
  <c r="O28" i="72"/>
  <c r="G38" i="72" s="1"/>
  <c r="N28" i="72"/>
  <c r="L28" i="72"/>
  <c r="K28" i="72"/>
  <c r="J28" i="72"/>
  <c r="G28" i="72"/>
  <c r="F28" i="72"/>
  <c r="H27" i="72"/>
  <c r="F117" i="72" s="1"/>
  <c r="I26" i="72"/>
  <c r="H116" i="72" s="1"/>
  <c r="H26" i="72"/>
  <c r="O25" i="72"/>
  <c r="G37" i="72" s="1"/>
  <c r="N25" i="72"/>
  <c r="L25" i="72"/>
  <c r="K25" i="72"/>
  <c r="J25" i="72"/>
  <c r="G25" i="72"/>
  <c r="F25" i="72"/>
  <c r="H24" i="72"/>
  <c r="I24" i="72" s="1"/>
  <c r="H23" i="72"/>
  <c r="I23" i="72" s="1"/>
  <c r="H113" i="72" s="1"/>
  <c r="H114" i="72" s="1"/>
  <c r="O22" i="72"/>
  <c r="N22" i="72"/>
  <c r="L22" i="72"/>
  <c r="K22" i="72"/>
  <c r="J22" i="72"/>
  <c r="G22" i="72"/>
  <c r="F22" i="72"/>
  <c r="H21" i="72"/>
  <c r="H22" i="72" s="1"/>
  <c r="O20" i="72"/>
  <c r="N20" i="72"/>
  <c r="L20" i="72"/>
  <c r="K20" i="72"/>
  <c r="J20" i="72"/>
  <c r="G20" i="72"/>
  <c r="F20" i="72"/>
  <c r="H19" i="72"/>
  <c r="I19" i="72" s="1"/>
  <c r="H18" i="72"/>
  <c r="I18" i="72" s="1"/>
  <c r="H17" i="72"/>
  <c r="I17" i="72" s="1"/>
  <c r="H14" i="72"/>
  <c r="F104" i="72" s="1"/>
  <c r="H13" i="72"/>
  <c r="F103" i="72" s="1"/>
  <c r="H10" i="72"/>
  <c r="I10" i="72" s="1"/>
  <c r="H9" i="72"/>
  <c r="F99" i="72" s="1"/>
  <c r="H8" i="72"/>
  <c r="F98" i="72" s="1"/>
  <c r="H7" i="72"/>
  <c r="F97" i="72" s="1"/>
  <c r="H6" i="72"/>
  <c r="H5" i="72"/>
  <c r="H28" i="72" l="1"/>
  <c r="N34" i="72"/>
  <c r="I6" i="72"/>
  <c r="H12" i="72"/>
  <c r="K34" i="72"/>
  <c r="J80" i="72"/>
  <c r="J76" i="72"/>
  <c r="L76" i="72" s="1"/>
  <c r="I7" i="72"/>
  <c r="H97" i="72" s="1"/>
  <c r="H25" i="72"/>
  <c r="L34" i="72"/>
  <c r="G39" i="72"/>
  <c r="G36" i="72"/>
  <c r="J34" i="72"/>
  <c r="G35" i="72"/>
  <c r="F106" i="72"/>
  <c r="G34" i="72"/>
  <c r="H33" i="72"/>
  <c r="I14" i="72"/>
  <c r="H104" i="72" s="1"/>
  <c r="I13" i="72"/>
  <c r="L57" i="72"/>
  <c r="F34" i="72"/>
  <c r="J53" i="72"/>
  <c r="L53" i="72" s="1"/>
  <c r="J63" i="72"/>
  <c r="L63" i="72" s="1"/>
  <c r="L80" i="72"/>
  <c r="J77" i="72"/>
  <c r="L77" i="72" s="1"/>
  <c r="J71" i="72"/>
  <c r="L71" i="72" s="1"/>
  <c r="G119" i="72"/>
  <c r="I5" i="72"/>
  <c r="J52" i="72" s="1"/>
  <c r="I9" i="72"/>
  <c r="H99" i="72" s="1"/>
  <c r="M12" i="72"/>
  <c r="M22" i="72"/>
  <c r="I25" i="72"/>
  <c r="M25" i="72"/>
  <c r="M28" i="72"/>
  <c r="I29" i="72"/>
  <c r="I33" i="72" s="1"/>
  <c r="F96" i="72"/>
  <c r="F116" i="72"/>
  <c r="F118" i="72" s="1"/>
  <c r="I8" i="72"/>
  <c r="H98" i="72" s="1"/>
  <c r="F95" i="72"/>
  <c r="H20" i="72"/>
  <c r="O34" i="72"/>
  <c r="F109" i="72"/>
  <c r="F113" i="72"/>
  <c r="F114" i="72" s="1"/>
  <c r="M20" i="72"/>
  <c r="I21" i="72"/>
  <c r="I22" i="72" s="1"/>
  <c r="I27" i="72"/>
  <c r="H117" i="72" s="1"/>
  <c r="H118" i="72" s="1"/>
  <c r="F5" i="69"/>
  <c r="J54" i="72" l="1"/>
  <c r="L54" i="72" s="1"/>
  <c r="F101" i="72"/>
  <c r="F119" i="72" s="1"/>
  <c r="J68" i="72"/>
  <c r="J74" i="72" s="1"/>
  <c r="L74" i="72" s="1"/>
  <c r="H96" i="72"/>
  <c r="I12" i="72"/>
  <c r="G40" i="72"/>
  <c r="D56" i="72" s="1"/>
  <c r="D57" i="72" s="1"/>
  <c r="D62" i="72" s="1"/>
  <c r="D70" i="72" s="1"/>
  <c r="D72" i="72" s="1"/>
  <c r="M34" i="72"/>
  <c r="I20" i="72"/>
  <c r="L62" i="72"/>
  <c r="H103" i="72"/>
  <c r="H106" i="72" s="1"/>
  <c r="J61" i="72"/>
  <c r="L61" i="72" s="1"/>
  <c r="H34" i="72"/>
  <c r="L52" i="72"/>
  <c r="J81" i="72"/>
  <c r="I28" i="72"/>
  <c r="J56" i="72"/>
  <c r="L56" i="72" s="1"/>
  <c r="J78" i="72"/>
  <c r="L78" i="72" s="1"/>
  <c r="J65" i="72"/>
  <c r="H95" i="72"/>
  <c r="J55" i="72"/>
  <c r="J51" i="71"/>
  <c r="J52" i="71"/>
  <c r="J53" i="71"/>
  <c r="J54" i="71"/>
  <c r="L55" i="72" l="1"/>
  <c r="M8" i="74"/>
  <c r="L68" i="72"/>
  <c r="H101" i="72"/>
  <c r="H119" i="72" s="1"/>
  <c r="I34" i="72"/>
  <c r="L65" i="72"/>
  <c r="J66" i="72"/>
  <c r="L66" i="72" s="1"/>
  <c r="J58" i="72"/>
  <c r="L58" i="72" s="1"/>
  <c r="L81" i="72"/>
  <c r="J82" i="72"/>
  <c r="J68" i="71"/>
  <c r="M11" i="74" l="1"/>
  <c r="M31" i="74" s="1"/>
  <c r="J52" i="74"/>
  <c r="L82" i="72"/>
  <c r="J91" i="72"/>
  <c r="M27" i="71"/>
  <c r="M28" i="71"/>
  <c r="M29" i="71"/>
  <c r="M26" i="71"/>
  <c r="M24" i="71"/>
  <c r="M23" i="71"/>
  <c r="M21" i="71"/>
  <c r="M20" i="71"/>
  <c r="M18" i="71"/>
  <c r="M13" i="71"/>
  <c r="M14" i="71"/>
  <c r="M12" i="71"/>
  <c r="M7" i="71"/>
  <c r="M8" i="71"/>
  <c r="M9" i="71"/>
  <c r="M10" i="71"/>
  <c r="L52" i="74" l="1"/>
  <c r="M8" i="75"/>
  <c r="J55" i="74"/>
  <c r="G114" i="71"/>
  <c r="G113" i="71"/>
  <c r="G115" i="71" s="1"/>
  <c r="G110" i="71"/>
  <c r="G111" i="71" s="1"/>
  <c r="H107" i="71"/>
  <c r="G107" i="71"/>
  <c r="F107" i="71"/>
  <c r="G106" i="71"/>
  <c r="H105" i="71"/>
  <c r="H108" i="71" s="1"/>
  <c r="G105" i="71"/>
  <c r="G108" i="71" s="1"/>
  <c r="F105" i="71"/>
  <c r="F108" i="71" s="1"/>
  <c r="G101" i="71"/>
  <c r="G100" i="71"/>
  <c r="G103" i="71" s="1"/>
  <c r="H97" i="71"/>
  <c r="G97" i="71"/>
  <c r="F97" i="71"/>
  <c r="G96" i="71"/>
  <c r="G95" i="71"/>
  <c r="G94" i="71"/>
  <c r="G93" i="71"/>
  <c r="G92" i="71"/>
  <c r="K86" i="71"/>
  <c r="J85" i="71"/>
  <c r="L85" i="71" s="1"/>
  <c r="K83" i="71"/>
  <c r="L83" i="71" s="1"/>
  <c r="J82" i="71"/>
  <c r="L82" i="71" s="1"/>
  <c r="J81" i="71"/>
  <c r="L81" i="71" s="1"/>
  <c r="K79" i="71"/>
  <c r="J70" i="71"/>
  <c r="L70" i="71" s="1"/>
  <c r="J69" i="71"/>
  <c r="L69" i="71" s="1"/>
  <c r="D66" i="71"/>
  <c r="K63" i="71"/>
  <c r="J61" i="71"/>
  <c r="L61" i="71" s="1"/>
  <c r="D58" i="71"/>
  <c r="D52" i="71"/>
  <c r="O30" i="71"/>
  <c r="N30" i="71"/>
  <c r="L30" i="71"/>
  <c r="K30" i="71"/>
  <c r="J30" i="71"/>
  <c r="G30" i="71"/>
  <c r="F30" i="71"/>
  <c r="H29" i="71"/>
  <c r="I29" i="71" s="1"/>
  <c r="H28" i="71"/>
  <c r="I28" i="71" s="1"/>
  <c r="J67" i="71" s="1"/>
  <c r="L67" i="71" s="1"/>
  <c r="H27" i="71"/>
  <c r="I27" i="71" s="1"/>
  <c r="M30" i="71"/>
  <c r="H26" i="71"/>
  <c r="O25" i="71"/>
  <c r="N25" i="71"/>
  <c r="L25" i="71"/>
  <c r="K25" i="71"/>
  <c r="J25" i="71"/>
  <c r="G25" i="71"/>
  <c r="F25" i="71"/>
  <c r="H24" i="71"/>
  <c r="F114" i="71" s="1"/>
  <c r="M25" i="71"/>
  <c r="H23" i="71"/>
  <c r="O22" i="71"/>
  <c r="N22" i="71"/>
  <c r="L22" i="71"/>
  <c r="K22" i="71"/>
  <c r="J22" i="71"/>
  <c r="G22" i="71"/>
  <c r="F22" i="71"/>
  <c r="H21" i="71"/>
  <c r="I21" i="71" s="1"/>
  <c r="J74" i="71" s="1"/>
  <c r="L74" i="71" s="1"/>
  <c r="H20" i="71"/>
  <c r="F110" i="71" s="1"/>
  <c r="F111" i="71" s="1"/>
  <c r="O19" i="71"/>
  <c r="N19" i="71"/>
  <c r="L19" i="71"/>
  <c r="K19" i="71"/>
  <c r="J19" i="71"/>
  <c r="G19" i="71"/>
  <c r="F19" i="71"/>
  <c r="M19" i="71"/>
  <c r="H18" i="71"/>
  <c r="H19" i="71" s="1"/>
  <c r="O17" i="71"/>
  <c r="N17" i="71"/>
  <c r="L17" i="71"/>
  <c r="K17" i="71"/>
  <c r="J17" i="71"/>
  <c r="G17" i="71"/>
  <c r="F17" i="71"/>
  <c r="H16" i="71"/>
  <c r="I16" i="71" s="1"/>
  <c r="H15" i="71"/>
  <c r="I15" i="71" s="1"/>
  <c r="H14" i="71"/>
  <c r="I14" i="71" s="1"/>
  <c r="H13" i="71"/>
  <c r="F101" i="71" s="1"/>
  <c r="H12" i="71"/>
  <c r="F100" i="71" s="1"/>
  <c r="O11" i="71"/>
  <c r="N11" i="71"/>
  <c r="L11" i="71"/>
  <c r="K11" i="71"/>
  <c r="J11" i="71"/>
  <c r="G11" i="71"/>
  <c r="F11" i="71"/>
  <c r="H10" i="71"/>
  <c r="I10" i="71" s="1"/>
  <c r="H9" i="71"/>
  <c r="F96" i="71" s="1"/>
  <c r="H8" i="71"/>
  <c r="F95" i="71" s="1"/>
  <c r="H7" i="71"/>
  <c r="F94" i="71" s="1"/>
  <c r="H6" i="71"/>
  <c r="F93" i="71" s="1"/>
  <c r="H5" i="71"/>
  <c r="I5" i="71" s="1"/>
  <c r="L55" i="74" l="1"/>
  <c r="J88" i="74"/>
  <c r="M12" i="75"/>
  <c r="M33" i="75" s="1"/>
  <c r="J54" i="75"/>
  <c r="F103" i="71"/>
  <c r="G98" i="71"/>
  <c r="H25" i="71"/>
  <c r="I6" i="71"/>
  <c r="H93" i="71" s="1"/>
  <c r="G35" i="71"/>
  <c r="N31" i="71"/>
  <c r="G34" i="71"/>
  <c r="I20" i="71"/>
  <c r="J73" i="71" s="1"/>
  <c r="L73" i="71" s="1"/>
  <c r="I23" i="71"/>
  <c r="H113" i="71" s="1"/>
  <c r="L31" i="71"/>
  <c r="K31" i="71"/>
  <c r="G36" i="71"/>
  <c r="G33" i="71"/>
  <c r="J31" i="71"/>
  <c r="G32" i="71"/>
  <c r="H30" i="71"/>
  <c r="I26" i="71"/>
  <c r="G31" i="71"/>
  <c r="I13" i="71"/>
  <c r="H101" i="71" s="1"/>
  <c r="J59" i="71"/>
  <c r="L59" i="71" s="1"/>
  <c r="I12" i="71"/>
  <c r="J58" i="71" s="1"/>
  <c r="L58" i="71" s="1"/>
  <c r="I8" i="71"/>
  <c r="H95" i="71" s="1"/>
  <c r="L54" i="71"/>
  <c r="F31" i="71"/>
  <c r="H92" i="71"/>
  <c r="L68" i="71"/>
  <c r="G116" i="71"/>
  <c r="J60" i="71"/>
  <c r="L60" i="71" s="1"/>
  <c r="I22" i="71"/>
  <c r="I30" i="71"/>
  <c r="J66" i="71"/>
  <c r="L66" i="71" s="1"/>
  <c r="I7" i="71"/>
  <c r="I9" i="71"/>
  <c r="H96" i="71" s="1"/>
  <c r="H17" i="71"/>
  <c r="J77" i="71"/>
  <c r="H110" i="71"/>
  <c r="H111" i="71" s="1"/>
  <c r="F113" i="71"/>
  <c r="F115" i="71" s="1"/>
  <c r="H11" i="71"/>
  <c r="M17" i="71"/>
  <c r="I18" i="71"/>
  <c r="I19" i="71" s="1"/>
  <c r="H22" i="71"/>
  <c r="I24" i="71"/>
  <c r="H114" i="71" s="1"/>
  <c r="H115" i="71" s="1"/>
  <c r="J65" i="71"/>
  <c r="F92" i="71"/>
  <c r="F98" i="71" s="1"/>
  <c r="M22" i="71"/>
  <c r="O31" i="71"/>
  <c r="F106" i="71"/>
  <c r="F14" i="2"/>
  <c r="O13" i="58"/>
  <c r="J56" i="70"/>
  <c r="I33" i="70"/>
  <c r="H33" i="70"/>
  <c r="H32" i="70"/>
  <c r="I32" i="70" s="1"/>
  <c r="H8" i="70"/>
  <c r="I8" i="70" s="1"/>
  <c r="O13" i="70"/>
  <c r="N13" i="70"/>
  <c r="L13" i="70"/>
  <c r="K13" i="70"/>
  <c r="J13" i="70"/>
  <c r="G13" i="70"/>
  <c r="H12" i="70"/>
  <c r="I12" i="70" s="1"/>
  <c r="F13" i="70"/>
  <c r="H29" i="70"/>
  <c r="I29" i="70" s="1"/>
  <c r="H30" i="70"/>
  <c r="L54" i="75" l="1"/>
  <c r="M8" i="76"/>
  <c r="J57" i="75"/>
  <c r="H94" i="71"/>
  <c r="J75" i="71"/>
  <c r="L75" i="71" s="1"/>
  <c r="L52" i="71"/>
  <c r="G37" i="71"/>
  <c r="D53" i="71" s="1"/>
  <c r="D54" i="71" s="1"/>
  <c r="D59" i="71" s="1"/>
  <c r="D67" i="71" s="1"/>
  <c r="D69" i="71" s="1"/>
  <c r="H100" i="71"/>
  <c r="H103" i="71" s="1"/>
  <c r="I17" i="71"/>
  <c r="H31" i="71"/>
  <c r="L65" i="71"/>
  <c r="J71" i="71"/>
  <c r="L71" i="71" s="1"/>
  <c r="J78" i="71"/>
  <c r="L78" i="71" s="1"/>
  <c r="I25" i="71"/>
  <c r="L53" i="71"/>
  <c r="L77" i="71"/>
  <c r="I11" i="71"/>
  <c r="F116" i="71"/>
  <c r="J62" i="71"/>
  <c r="L51" i="71"/>
  <c r="H98" i="71"/>
  <c r="M30" i="70"/>
  <c r="M31" i="70"/>
  <c r="M34" i="70"/>
  <c r="M28" i="70"/>
  <c r="M26" i="70"/>
  <c r="M25" i="70"/>
  <c r="M23" i="70"/>
  <c r="M22" i="70"/>
  <c r="M20" i="70"/>
  <c r="M16" i="70"/>
  <c r="M14" i="70"/>
  <c r="M7" i="70"/>
  <c r="M9" i="70"/>
  <c r="M10" i="70"/>
  <c r="M11" i="70"/>
  <c r="G119" i="70"/>
  <c r="G120" i="70" s="1"/>
  <c r="G118" i="70"/>
  <c r="G115" i="70"/>
  <c r="G116" i="70" s="1"/>
  <c r="H112" i="70"/>
  <c r="G112" i="70"/>
  <c r="F112" i="70"/>
  <c r="G111" i="70"/>
  <c r="H110" i="70"/>
  <c r="H113" i="70" s="1"/>
  <c r="G110" i="70"/>
  <c r="G113" i="70" s="1"/>
  <c r="F110" i="70"/>
  <c r="F113" i="70" s="1"/>
  <c r="G106" i="70"/>
  <c r="G105" i="70"/>
  <c r="G108" i="70" s="1"/>
  <c r="H102" i="70"/>
  <c r="G102" i="70"/>
  <c r="F102" i="70"/>
  <c r="G101" i="70"/>
  <c r="G100" i="70"/>
  <c r="G99" i="70"/>
  <c r="G103" i="70" s="1"/>
  <c r="G98" i="70"/>
  <c r="G97" i="70"/>
  <c r="K91" i="70"/>
  <c r="J90" i="70"/>
  <c r="L90" i="70" s="1"/>
  <c r="L88" i="70"/>
  <c r="K88" i="70"/>
  <c r="J87" i="70"/>
  <c r="L87" i="70" s="1"/>
  <c r="J86" i="70"/>
  <c r="L86" i="70" s="1"/>
  <c r="K84" i="70"/>
  <c r="J75" i="70"/>
  <c r="L75" i="70" s="1"/>
  <c r="J74" i="70"/>
  <c r="L74" i="70" s="1"/>
  <c r="D71" i="70"/>
  <c r="K68" i="70"/>
  <c r="D63" i="70"/>
  <c r="D57" i="70"/>
  <c r="O35" i="70"/>
  <c r="N35" i="70"/>
  <c r="N36" i="70" s="1"/>
  <c r="L35" i="70"/>
  <c r="K35" i="70"/>
  <c r="J35" i="70"/>
  <c r="G35" i="70"/>
  <c r="F35" i="70"/>
  <c r="H34" i="70"/>
  <c r="I34" i="70" s="1"/>
  <c r="J73" i="70" s="1"/>
  <c r="H31" i="70"/>
  <c r="I31" i="70" s="1"/>
  <c r="J72" i="70" s="1"/>
  <c r="L72" i="70" s="1"/>
  <c r="I30" i="70"/>
  <c r="H28" i="70"/>
  <c r="O27" i="70"/>
  <c r="G40" i="70" s="1"/>
  <c r="N27" i="70"/>
  <c r="L27" i="70"/>
  <c r="K27" i="70"/>
  <c r="J27" i="70"/>
  <c r="G27" i="70"/>
  <c r="F27" i="70"/>
  <c r="H26" i="70"/>
  <c r="F119" i="70" s="1"/>
  <c r="H25" i="70"/>
  <c r="F118" i="70" s="1"/>
  <c r="O24" i="70"/>
  <c r="G39" i="70" s="1"/>
  <c r="N24" i="70"/>
  <c r="L24" i="70"/>
  <c r="K24" i="70"/>
  <c r="J24" i="70"/>
  <c r="G24" i="70"/>
  <c r="F24" i="70"/>
  <c r="H23" i="70"/>
  <c r="I23" i="70" s="1"/>
  <c r="H22" i="70"/>
  <c r="H24" i="70" s="1"/>
  <c r="O21" i="70"/>
  <c r="N21" i="70"/>
  <c r="L21" i="70"/>
  <c r="K21" i="70"/>
  <c r="J21" i="70"/>
  <c r="G21" i="70"/>
  <c r="F21" i="70"/>
  <c r="H20" i="70"/>
  <c r="H21" i="70" s="1"/>
  <c r="O19" i="70"/>
  <c r="N19" i="70"/>
  <c r="L19" i="70"/>
  <c r="K19" i="70"/>
  <c r="J19" i="70"/>
  <c r="G19" i="70"/>
  <c r="F19" i="70"/>
  <c r="H18" i="70"/>
  <c r="I18" i="70" s="1"/>
  <c r="J66" i="70"/>
  <c r="L66" i="70" s="1"/>
  <c r="H17" i="70"/>
  <c r="I17" i="70" s="1"/>
  <c r="H16" i="70"/>
  <c r="I16" i="70" s="1"/>
  <c r="J65" i="70" s="1"/>
  <c r="L65" i="70" s="1"/>
  <c r="H15" i="70"/>
  <c r="I15" i="70" s="1"/>
  <c r="H106" i="70" s="1"/>
  <c r="H14" i="70"/>
  <c r="I14" i="70" s="1"/>
  <c r="H11" i="70"/>
  <c r="I11" i="70" s="1"/>
  <c r="H10" i="70"/>
  <c r="I10" i="70" s="1"/>
  <c r="H101" i="70" s="1"/>
  <c r="H9" i="70"/>
  <c r="F100" i="70" s="1"/>
  <c r="H7" i="70"/>
  <c r="F99" i="70" s="1"/>
  <c r="H6" i="70"/>
  <c r="H5" i="70"/>
  <c r="I5" i="70" s="1"/>
  <c r="L57" i="75" l="1"/>
  <c r="J90" i="75"/>
  <c r="M11" i="76"/>
  <c r="M32" i="76" s="1"/>
  <c r="J53" i="76"/>
  <c r="J79" i="71"/>
  <c r="H116" i="71"/>
  <c r="I31" i="71"/>
  <c r="L79" i="71"/>
  <c r="L62" i="71"/>
  <c r="J63" i="71"/>
  <c r="L63" i="71" s="1"/>
  <c r="K36" i="70"/>
  <c r="L36" i="70"/>
  <c r="I6" i="70"/>
  <c r="H13" i="70"/>
  <c r="M35" i="70"/>
  <c r="H35" i="70"/>
  <c r="I22" i="70"/>
  <c r="J78" i="70" s="1"/>
  <c r="L78" i="70" s="1"/>
  <c r="H27" i="70"/>
  <c r="F98" i="70"/>
  <c r="M24" i="70"/>
  <c r="I25" i="70"/>
  <c r="H118" i="70" s="1"/>
  <c r="G41" i="70"/>
  <c r="I28" i="70"/>
  <c r="J70" i="70" s="1"/>
  <c r="G38" i="70"/>
  <c r="G37" i="70"/>
  <c r="J36" i="70"/>
  <c r="G36" i="70"/>
  <c r="L73" i="70"/>
  <c r="J63" i="70"/>
  <c r="L63" i="70" s="1"/>
  <c r="I9" i="70"/>
  <c r="H100" i="70" s="1"/>
  <c r="F36" i="70"/>
  <c r="H97" i="70"/>
  <c r="J59" i="70"/>
  <c r="L59" i="70" s="1"/>
  <c r="I19" i="70"/>
  <c r="H105" i="70"/>
  <c r="H108" i="70" s="1"/>
  <c r="F120" i="70"/>
  <c r="J58" i="70"/>
  <c r="L58" i="70" s="1"/>
  <c r="J71" i="70"/>
  <c r="L71" i="70" s="1"/>
  <c r="I24" i="70"/>
  <c r="G121" i="70"/>
  <c r="M27" i="70"/>
  <c r="J82" i="70"/>
  <c r="H115" i="70"/>
  <c r="H116" i="70" s="1"/>
  <c r="I7" i="70"/>
  <c r="H99" i="70" s="1"/>
  <c r="F97" i="70"/>
  <c r="F101" i="70"/>
  <c r="F106" i="70"/>
  <c r="M21" i="70"/>
  <c r="J79" i="70"/>
  <c r="L79" i="70" s="1"/>
  <c r="H19" i="70"/>
  <c r="O36" i="70"/>
  <c r="F105" i="70"/>
  <c r="F111" i="70"/>
  <c r="F115" i="70"/>
  <c r="F116" i="70" s="1"/>
  <c r="I20" i="70"/>
  <c r="I21" i="70" s="1"/>
  <c r="I26" i="70"/>
  <c r="H119" i="70" s="1"/>
  <c r="F33" i="2"/>
  <c r="L53" i="76" l="1"/>
  <c r="M8" i="77"/>
  <c r="J56" i="76"/>
  <c r="J57" i="70"/>
  <c r="L57" i="70" s="1"/>
  <c r="H120" i="70"/>
  <c r="F108" i="70"/>
  <c r="H98" i="70"/>
  <c r="H103" i="70" s="1"/>
  <c r="H121" i="70" s="1"/>
  <c r="I13" i="70"/>
  <c r="I35" i="70"/>
  <c r="G42" i="70"/>
  <c r="D58" i="70" s="1"/>
  <c r="D59" i="70" s="1"/>
  <c r="D64" i="70" s="1"/>
  <c r="D72" i="70" s="1"/>
  <c r="D74" i="70" s="1"/>
  <c r="H36" i="70"/>
  <c r="J76" i="70"/>
  <c r="L76" i="70" s="1"/>
  <c r="L70" i="70"/>
  <c r="I27" i="70"/>
  <c r="J83" i="70"/>
  <c r="L83" i="70" s="1"/>
  <c r="J80" i="70"/>
  <c r="L80" i="70" s="1"/>
  <c r="F103" i="70"/>
  <c r="F121" i="70" s="1"/>
  <c r="J67" i="70"/>
  <c r="L82" i="70"/>
  <c r="L56" i="70"/>
  <c r="J68" i="69"/>
  <c r="J65" i="69"/>
  <c r="J61" i="69"/>
  <c r="L56" i="76" l="1"/>
  <c r="J89" i="76"/>
  <c r="M12" i="77"/>
  <c r="M33" i="77" s="1"/>
  <c r="J54" i="77"/>
  <c r="I36" i="70"/>
  <c r="L67" i="70"/>
  <c r="J84" i="70"/>
  <c r="M27" i="69"/>
  <c r="M28" i="69"/>
  <c r="M29" i="69"/>
  <c r="M26" i="69"/>
  <c r="M23" i="69"/>
  <c r="M21" i="69"/>
  <c r="M20" i="69"/>
  <c r="M18" i="69"/>
  <c r="M14" i="69"/>
  <c r="M15" i="69"/>
  <c r="M12" i="69"/>
  <c r="M6" i="69"/>
  <c r="M7" i="69"/>
  <c r="M8" i="69"/>
  <c r="M9" i="69"/>
  <c r="M10" i="69"/>
  <c r="M5" i="69"/>
  <c r="L54" i="77" l="1"/>
  <c r="M8" i="78"/>
  <c r="J57" i="77"/>
  <c r="L84" i="70"/>
  <c r="G114" i="69"/>
  <c r="G113" i="69"/>
  <c r="G115" i="69" s="1"/>
  <c r="G110" i="69"/>
  <c r="G111" i="69" s="1"/>
  <c r="H107" i="69"/>
  <c r="G107" i="69"/>
  <c r="F107" i="69"/>
  <c r="G106" i="69"/>
  <c r="H105" i="69"/>
  <c r="H108" i="69" s="1"/>
  <c r="G105" i="69"/>
  <c r="G108" i="69" s="1"/>
  <c r="F105" i="69"/>
  <c r="F108" i="69" s="1"/>
  <c r="G101" i="69"/>
  <c r="G100" i="69"/>
  <c r="G97" i="69"/>
  <c r="G96" i="69"/>
  <c r="G95" i="69"/>
  <c r="G94" i="69"/>
  <c r="G93" i="69"/>
  <c r="G92" i="69"/>
  <c r="K86" i="69"/>
  <c r="J85" i="69"/>
  <c r="L85" i="69" s="1"/>
  <c r="K83" i="69"/>
  <c r="L83" i="69" s="1"/>
  <c r="J82" i="69"/>
  <c r="L82" i="69" s="1"/>
  <c r="J81" i="69"/>
  <c r="L81" i="69" s="1"/>
  <c r="K79" i="69"/>
  <c r="J70" i="69"/>
  <c r="L70" i="69" s="1"/>
  <c r="J69" i="69"/>
  <c r="L69" i="69" s="1"/>
  <c r="D66" i="69"/>
  <c r="K63" i="69"/>
  <c r="L61" i="69"/>
  <c r="D58" i="69"/>
  <c r="D52" i="69"/>
  <c r="O30" i="69"/>
  <c r="N30" i="69"/>
  <c r="L30" i="69"/>
  <c r="K30" i="69"/>
  <c r="J30" i="69"/>
  <c r="G30" i="69"/>
  <c r="F30" i="69"/>
  <c r="H29" i="69"/>
  <c r="I29" i="69" s="1"/>
  <c r="H28" i="69"/>
  <c r="I28" i="69" s="1"/>
  <c r="J67" i="69" s="1"/>
  <c r="L67" i="69" s="1"/>
  <c r="H27" i="69"/>
  <c r="F106" i="69" s="1"/>
  <c r="H26" i="69"/>
  <c r="I26" i="69" s="1"/>
  <c r="M30" i="69"/>
  <c r="O25" i="69"/>
  <c r="N25" i="69"/>
  <c r="L25" i="69"/>
  <c r="K25" i="69"/>
  <c r="J25" i="69"/>
  <c r="G25" i="69"/>
  <c r="F25" i="69"/>
  <c r="H24" i="69"/>
  <c r="F114" i="69" s="1"/>
  <c r="H23" i="69"/>
  <c r="F113" i="69" s="1"/>
  <c r="O22" i="69"/>
  <c r="N22" i="69"/>
  <c r="L22" i="69"/>
  <c r="K22" i="69"/>
  <c r="J22" i="69"/>
  <c r="G22" i="69"/>
  <c r="F22" i="69"/>
  <c r="H21" i="69"/>
  <c r="I21" i="69" s="1"/>
  <c r="J74" i="69" s="1"/>
  <c r="L74" i="69" s="1"/>
  <c r="H20" i="69"/>
  <c r="F110" i="69" s="1"/>
  <c r="F111" i="69" s="1"/>
  <c r="O19" i="69"/>
  <c r="N19" i="69"/>
  <c r="L19" i="69"/>
  <c r="K19" i="69"/>
  <c r="J19" i="69"/>
  <c r="G19" i="69"/>
  <c r="F19" i="69"/>
  <c r="M19" i="69"/>
  <c r="H18" i="69"/>
  <c r="H19" i="69" s="1"/>
  <c r="O17" i="69"/>
  <c r="N17" i="69"/>
  <c r="L17" i="69"/>
  <c r="K17" i="69"/>
  <c r="J17" i="69"/>
  <c r="G17" i="69"/>
  <c r="F17" i="69"/>
  <c r="H16" i="69"/>
  <c r="I16" i="69" s="1"/>
  <c r="H15" i="69"/>
  <c r="I15" i="69" s="1"/>
  <c r="H14" i="69"/>
  <c r="I14" i="69" s="1"/>
  <c r="H13" i="69"/>
  <c r="F101" i="69" s="1"/>
  <c r="H12" i="69"/>
  <c r="O11" i="69"/>
  <c r="N11" i="69"/>
  <c r="L11" i="69"/>
  <c r="K11" i="69"/>
  <c r="J11" i="69"/>
  <c r="F11" i="69"/>
  <c r="F97" i="69"/>
  <c r="H10" i="69"/>
  <c r="I10" i="69" s="1"/>
  <c r="J54" i="69" s="1"/>
  <c r="H9" i="69"/>
  <c r="F96" i="69" s="1"/>
  <c r="H8" i="69"/>
  <c r="F95" i="69" s="1"/>
  <c r="H7" i="69"/>
  <c r="F94" i="69" s="1"/>
  <c r="H6" i="69"/>
  <c r="F93" i="69" s="1"/>
  <c r="G11" i="69"/>
  <c r="H5" i="69"/>
  <c r="F92" i="69" s="1"/>
  <c r="L57" i="77" l="1"/>
  <c r="J90" i="77"/>
  <c r="M11" i="78"/>
  <c r="M32" i="78" s="1"/>
  <c r="J53" i="78"/>
  <c r="G98" i="69"/>
  <c r="F115" i="69"/>
  <c r="I6" i="69"/>
  <c r="H93" i="69" s="1"/>
  <c r="G103" i="69"/>
  <c r="G116" i="69" s="1"/>
  <c r="G35" i="69"/>
  <c r="G34" i="69"/>
  <c r="N31" i="69"/>
  <c r="I20" i="69"/>
  <c r="J73" i="69" s="1"/>
  <c r="I23" i="69"/>
  <c r="H113" i="69" s="1"/>
  <c r="L31" i="69"/>
  <c r="K31" i="69"/>
  <c r="G36" i="69"/>
  <c r="G33" i="69"/>
  <c r="G32" i="69"/>
  <c r="J31" i="69"/>
  <c r="I8" i="69"/>
  <c r="H95" i="69" s="1"/>
  <c r="H30" i="69"/>
  <c r="H17" i="69"/>
  <c r="I13" i="69"/>
  <c r="H97" i="69"/>
  <c r="F98" i="69"/>
  <c r="I5" i="69"/>
  <c r="F31" i="69"/>
  <c r="J60" i="69"/>
  <c r="L60" i="69" s="1"/>
  <c r="L68" i="69"/>
  <c r="I22" i="69"/>
  <c r="L73" i="69"/>
  <c r="J75" i="69"/>
  <c r="L75" i="69" s="1"/>
  <c r="G31" i="69"/>
  <c r="I9" i="69"/>
  <c r="H96" i="69" s="1"/>
  <c r="I18" i="69"/>
  <c r="I19" i="69" s="1"/>
  <c r="H22" i="69"/>
  <c r="I24" i="69"/>
  <c r="H114" i="69" s="1"/>
  <c r="H115" i="69" s="1"/>
  <c r="H25" i="69"/>
  <c r="I27" i="69"/>
  <c r="J66" i="69" s="1"/>
  <c r="L66" i="69" s="1"/>
  <c r="H110" i="69"/>
  <c r="H111" i="69" s="1"/>
  <c r="M22" i="69"/>
  <c r="I7" i="69"/>
  <c r="H94" i="69" s="1"/>
  <c r="M11" i="69"/>
  <c r="I12" i="69"/>
  <c r="J58" i="69" s="1"/>
  <c r="F100" i="69"/>
  <c r="F103" i="69" s="1"/>
  <c r="O31" i="69"/>
  <c r="F39" i="68"/>
  <c r="G39" i="68"/>
  <c r="J39" i="68"/>
  <c r="K39" i="68"/>
  <c r="L39" i="68"/>
  <c r="M39" i="68"/>
  <c r="N39" i="68"/>
  <c r="O39" i="68"/>
  <c r="L53" i="78" l="1"/>
  <c r="M9" i="79"/>
  <c r="J56" i="78"/>
  <c r="H92" i="69"/>
  <c r="J49" i="69"/>
  <c r="M5" i="70" s="1"/>
  <c r="J54" i="70" s="1"/>
  <c r="H101" i="69"/>
  <c r="J50" i="69"/>
  <c r="J52" i="69"/>
  <c r="L52" i="69" s="1"/>
  <c r="I25" i="69"/>
  <c r="J62" i="69"/>
  <c r="L62" i="69" s="1"/>
  <c r="J77" i="69"/>
  <c r="L77" i="69" s="1"/>
  <c r="G37" i="69"/>
  <c r="D53" i="69" s="1"/>
  <c r="D54" i="69" s="1"/>
  <c r="D59" i="69" s="1"/>
  <c r="D67" i="69" s="1"/>
  <c r="D69" i="69" s="1"/>
  <c r="I30" i="69"/>
  <c r="F116" i="69"/>
  <c r="H11" i="69"/>
  <c r="L54" i="69"/>
  <c r="H98" i="69"/>
  <c r="I11" i="69"/>
  <c r="H31" i="69"/>
  <c r="L58" i="69"/>
  <c r="L65" i="69"/>
  <c r="J71" i="69"/>
  <c r="L71" i="69" s="1"/>
  <c r="J53" i="69"/>
  <c r="L53" i="69" s="1"/>
  <c r="H100" i="69"/>
  <c r="H103" i="69" s="1"/>
  <c r="I17" i="69"/>
  <c r="J51" i="69"/>
  <c r="L51" i="69" s="1"/>
  <c r="M36" i="68"/>
  <c r="L56" i="78" l="1"/>
  <c r="J89" i="78"/>
  <c r="M12" i="79"/>
  <c r="M35" i="79" s="1"/>
  <c r="M5" i="71"/>
  <c r="J49" i="71" s="1"/>
  <c r="L49" i="71" s="1"/>
  <c r="L54" i="70"/>
  <c r="L49" i="69"/>
  <c r="L50" i="69"/>
  <c r="M6" i="70"/>
  <c r="H116" i="69"/>
  <c r="I31" i="69"/>
  <c r="J55" i="69"/>
  <c r="L55" i="69" s="1"/>
  <c r="J74" i="68"/>
  <c r="J58" i="68"/>
  <c r="J59" i="79" l="1"/>
  <c r="L56" i="79"/>
  <c r="J55" i="70"/>
  <c r="M13" i="70"/>
  <c r="G6" i="68"/>
  <c r="H6" i="68" s="1"/>
  <c r="I6" i="68" s="1"/>
  <c r="I11" i="68"/>
  <c r="H11" i="68"/>
  <c r="L59" i="79" l="1"/>
  <c r="J91" i="79"/>
  <c r="L55" i="70"/>
  <c r="M6" i="71"/>
  <c r="J60" i="70"/>
  <c r="L60" i="70" s="1"/>
  <c r="I33" i="68"/>
  <c r="H33" i="68"/>
  <c r="H32" i="68"/>
  <c r="I32" i="68" s="1"/>
  <c r="H34" i="68"/>
  <c r="I34" i="68" s="1"/>
  <c r="H35" i="68"/>
  <c r="I35" i="68" s="1"/>
  <c r="H18" i="68"/>
  <c r="I18" i="68" s="1"/>
  <c r="H17" i="68"/>
  <c r="I17" i="68" s="1"/>
  <c r="H19" i="68"/>
  <c r="I19" i="68" s="1"/>
  <c r="H20" i="68"/>
  <c r="I20" i="68" s="1"/>
  <c r="H16" i="68"/>
  <c r="I16" i="68" s="1"/>
  <c r="J50" i="71" l="1"/>
  <c r="M11" i="71"/>
  <c r="M31" i="71" s="1"/>
  <c r="H38" i="68"/>
  <c r="I38" i="68" s="1"/>
  <c r="L50" i="71" l="1"/>
  <c r="J55" i="71"/>
  <c r="H37" i="68"/>
  <c r="I37" i="68" s="1"/>
  <c r="L55" i="71" l="1"/>
  <c r="J88" i="71"/>
  <c r="M34" i="68"/>
  <c r="M35" i="68"/>
  <c r="M31" i="68"/>
  <c r="M28" i="68"/>
  <c r="M26" i="68"/>
  <c r="M25" i="68"/>
  <c r="M23" i="68"/>
  <c r="M24" i="68" s="1"/>
  <c r="M19" i="68"/>
  <c r="J69" i="68" s="1"/>
  <c r="L69" i="68" s="1"/>
  <c r="M20" i="68"/>
  <c r="M14" i="68"/>
  <c r="M7" i="68"/>
  <c r="M8" i="68"/>
  <c r="M9" i="68"/>
  <c r="M10" i="68"/>
  <c r="M12" i="68"/>
  <c r="M5" i="68"/>
  <c r="G123" i="68"/>
  <c r="G122" i="68"/>
  <c r="G124" i="68" s="1"/>
  <c r="G119" i="68"/>
  <c r="G120" i="68" s="1"/>
  <c r="H116" i="68"/>
  <c r="G116" i="68"/>
  <c r="F116" i="68"/>
  <c r="G115" i="68"/>
  <c r="H114" i="68"/>
  <c r="H117" i="68" s="1"/>
  <c r="G114" i="68"/>
  <c r="G117" i="68" s="1"/>
  <c r="F114" i="68"/>
  <c r="F117" i="68" s="1"/>
  <c r="G110" i="68"/>
  <c r="G109" i="68"/>
  <c r="G106" i="68"/>
  <c r="G105" i="68"/>
  <c r="G104" i="68"/>
  <c r="G103" i="68"/>
  <c r="G102" i="68"/>
  <c r="G101" i="68"/>
  <c r="K95" i="68"/>
  <c r="J94" i="68"/>
  <c r="L94" i="68" s="1"/>
  <c r="K92" i="68"/>
  <c r="L92" i="68" s="1"/>
  <c r="J91" i="68"/>
  <c r="L91" i="68" s="1"/>
  <c r="J90" i="68"/>
  <c r="L90" i="68" s="1"/>
  <c r="K88" i="68"/>
  <c r="J79" i="68"/>
  <c r="L79" i="68" s="1"/>
  <c r="J78" i="68"/>
  <c r="L78" i="68" s="1"/>
  <c r="D75" i="68"/>
  <c r="K72" i="68"/>
  <c r="L70" i="68"/>
  <c r="D67" i="68"/>
  <c r="D61" i="68"/>
  <c r="H36" i="68"/>
  <c r="J76" i="68"/>
  <c r="L76" i="68" s="1"/>
  <c r="F115" i="68"/>
  <c r="H31" i="68"/>
  <c r="O30" i="68"/>
  <c r="N30" i="68"/>
  <c r="L30" i="68"/>
  <c r="K30" i="68"/>
  <c r="J30" i="68"/>
  <c r="G30" i="68"/>
  <c r="F30" i="68"/>
  <c r="H29" i="68"/>
  <c r="F123" i="68" s="1"/>
  <c r="H28" i="68"/>
  <c r="O27" i="68"/>
  <c r="N27" i="68"/>
  <c r="L27" i="68"/>
  <c r="K27" i="68"/>
  <c r="J27" i="68"/>
  <c r="G27" i="68"/>
  <c r="F27" i="68"/>
  <c r="H26" i="68"/>
  <c r="I26" i="68" s="1"/>
  <c r="H25" i="68"/>
  <c r="F119" i="68" s="1"/>
  <c r="F120" i="68" s="1"/>
  <c r="O24" i="68"/>
  <c r="N24" i="68"/>
  <c r="L24" i="68"/>
  <c r="K24" i="68"/>
  <c r="J24" i="68"/>
  <c r="G24" i="68"/>
  <c r="F24" i="68"/>
  <c r="H23" i="68"/>
  <c r="H24" i="68" s="1"/>
  <c r="O22" i="68"/>
  <c r="N22" i="68"/>
  <c r="L22" i="68"/>
  <c r="K22" i="68"/>
  <c r="J22" i="68"/>
  <c r="G22" i="68"/>
  <c r="F22" i="68"/>
  <c r="H21" i="68"/>
  <c r="I21" i="68" s="1"/>
  <c r="H15" i="68"/>
  <c r="F110" i="68" s="1"/>
  <c r="H14" i="68"/>
  <c r="F109" i="68" s="1"/>
  <c r="O13" i="68"/>
  <c r="N13" i="68"/>
  <c r="L13" i="68"/>
  <c r="K13" i="68"/>
  <c r="J13" i="68"/>
  <c r="G13" i="68"/>
  <c r="F13" i="68"/>
  <c r="H12" i="68"/>
  <c r="F106" i="68" s="1"/>
  <c r="H10" i="68"/>
  <c r="F105" i="68" s="1"/>
  <c r="H9" i="68"/>
  <c r="F104" i="68" s="1"/>
  <c r="H8" i="68"/>
  <c r="F103" i="68" s="1"/>
  <c r="H7" i="68"/>
  <c r="F102" i="68" s="1"/>
  <c r="H5" i="68"/>
  <c r="F101" i="68" s="1"/>
  <c r="I36" i="68" l="1"/>
  <c r="H39" i="68"/>
  <c r="G112" i="68"/>
  <c r="G107" i="68"/>
  <c r="G125" i="68" s="1"/>
  <c r="I7" i="68"/>
  <c r="H102" i="68" s="1"/>
  <c r="J83" i="68"/>
  <c r="L83" i="68" s="1"/>
  <c r="I25" i="68"/>
  <c r="J82" i="68" s="1"/>
  <c r="J84" i="68" s="1"/>
  <c r="L84" i="68" s="1"/>
  <c r="H30" i="68"/>
  <c r="I28" i="68"/>
  <c r="G44" i="68"/>
  <c r="K40" i="68"/>
  <c r="F122" i="68"/>
  <c r="F124" i="68" s="1"/>
  <c r="F112" i="68"/>
  <c r="G43" i="68"/>
  <c r="N40" i="68"/>
  <c r="L40" i="68"/>
  <c r="G45" i="68"/>
  <c r="G42" i="68"/>
  <c r="G41" i="68"/>
  <c r="J40" i="68"/>
  <c r="G40" i="68"/>
  <c r="I31" i="68"/>
  <c r="I15" i="68"/>
  <c r="I12" i="68"/>
  <c r="H106" i="68" s="1"/>
  <c r="I9" i="68"/>
  <c r="F107" i="68"/>
  <c r="F40" i="68"/>
  <c r="I27" i="68"/>
  <c r="H13" i="68"/>
  <c r="I5" i="68"/>
  <c r="I10" i="68"/>
  <c r="H105" i="68" s="1"/>
  <c r="M13" i="68"/>
  <c r="I14" i="68"/>
  <c r="J67" i="68" s="1"/>
  <c r="I23" i="68"/>
  <c r="H27" i="68"/>
  <c r="I29" i="68"/>
  <c r="H123" i="68" s="1"/>
  <c r="J75" i="68"/>
  <c r="L75" i="68" s="1"/>
  <c r="H22" i="68"/>
  <c r="M27" i="68"/>
  <c r="O40" i="68"/>
  <c r="I8" i="68"/>
  <c r="H103" i="68" s="1"/>
  <c r="K58" i="67"/>
  <c r="J61" i="67"/>
  <c r="J68" i="67"/>
  <c r="M32" i="67"/>
  <c r="M29" i="67"/>
  <c r="M30" i="67"/>
  <c r="M28" i="67"/>
  <c r="M25" i="67"/>
  <c r="M23" i="67"/>
  <c r="M24" i="67" s="1"/>
  <c r="M22" i="67"/>
  <c r="M20" i="67"/>
  <c r="M17" i="67"/>
  <c r="M16" i="67"/>
  <c r="M12" i="67"/>
  <c r="M6" i="67"/>
  <c r="M7" i="67"/>
  <c r="M8" i="67"/>
  <c r="M10" i="67"/>
  <c r="M5" i="67"/>
  <c r="H15" i="67"/>
  <c r="I15" i="67" s="1"/>
  <c r="H13" i="67"/>
  <c r="I13" i="67" s="1"/>
  <c r="H31" i="67"/>
  <c r="I31" i="67" s="1"/>
  <c r="G117" i="67"/>
  <c r="G116" i="67"/>
  <c r="G118" i="67" s="1"/>
  <c r="G113" i="67"/>
  <c r="G114" i="67" s="1"/>
  <c r="H110" i="67"/>
  <c r="G110" i="67"/>
  <c r="F110" i="67"/>
  <c r="G109" i="67"/>
  <c r="H108" i="67"/>
  <c r="H111" i="67" s="1"/>
  <c r="G108" i="67"/>
  <c r="G111" i="67" s="1"/>
  <c r="F108" i="67"/>
  <c r="F111" i="67" s="1"/>
  <c r="G104" i="67"/>
  <c r="G103" i="67"/>
  <c r="G106" i="67" s="1"/>
  <c r="G100" i="67"/>
  <c r="G99" i="67"/>
  <c r="G98" i="67"/>
  <c r="G97" i="67"/>
  <c r="G96" i="67"/>
  <c r="G95" i="67"/>
  <c r="K89" i="67"/>
  <c r="J88" i="67"/>
  <c r="L88" i="67" s="1"/>
  <c r="K86" i="67"/>
  <c r="L86" i="67" s="1"/>
  <c r="J85" i="67"/>
  <c r="L85" i="67" s="1"/>
  <c r="J84" i="67"/>
  <c r="L84" i="67" s="1"/>
  <c r="K82" i="67"/>
  <c r="J73" i="67"/>
  <c r="L73" i="67" s="1"/>
  <c r="J72" i="67"/>
  <c r="L72" i="67" s="1"/>
  <c r="D69" i="67"/>
  <c r="K66" i="67"/>
  <c r="L64" i="67"/>
  <c r="D61" i="67"/>
  <c r="D55" i="67"/>
  <c r="O33" i="67"/>
  <c r="N33" i="67"/>
  <c r="L33" i="67"/>
  <c r="K33" i="67"/>
  <c r="J33" i="67"/>
  <c r="G33" i="67"/>
  <c r="F33" i="67"/>
  <c r="H32" i="67"/>
  <c r="I32" i="67" s="1"/>
  <c r="J71" i="67" s="1"/>
  <c r="H30" i="67"/>
  <c r="I30" i="67" s="1"/>
  <c r="H29" i="67"/>
  <c r="F109" i="67" s="1"/>
  <c r="H28" i="67"/>
  <c r="O27" i="67"/>
  <c r="N27" i="67"/>
  <c r="L27" i="67"/>
  <c r="K27" i="67"/>
  <c r="J27" i="67"/>
  <c r="G27" i="67"/>
  <c r="F27" i="67"/>
  <c r="H26" i="67"/>
  <c r="F117" i="67" s="1"/>
  <c r="H25" i="67"/>
  <c r="I25" i="67" s="1"/>
  <c r="O24" i="67"/>
  <c r="N24" i="67"/>
  <c r="L24" i="67"/>
  <c r="K24" i="67"/>
  <c r="J24" i="67"/>
  <c r="G24" i="67"/>
  <c r="F24" i="67"/>
  <c r="H23" i="67"/>
  <c r="I23" i="67" s="1"/>
  <c r="H22" i="67"/>
  <c r="F113" i="67" s="1"/>
  <c r="F114" i="67" s="1"/>
  <c r="O21" i="67"/>
  <c r="N21" i="67"/>
  <c r="L21" i="67"/>
  <c r="K21" i="67"/>
  <c r="J21" i="67"/>
  <c r="G21" i="67"/>
  <c r="F21" i="67"/>
  <c r="M21" i="67"/>
  <c r="H20" i="67"/>
  <c r="H21" i="67" s="1"/>
  <c r="O19" i="67"/>
  <c r="N19" i="67"/>
  <c r="L19" i="67"/>
  <c r="K19" i="67"/>
  <c r="J19" i="67"/>
  <c r="G19" i="67"/>
  <c r="F19" i="67"/>
  <c r="H18" i="67"/>
  <c r="I18" i="67" s="1"/>
  <c r="H17" i="67"/>
  <c r="I17" i="67" s="1"/>
  <c r="H16" i="67"/>
  <c r="I16" i="67" s="1"/>
  <c r="H14" i="67"/>
  <c r="F104" i="67" s="1"/>
  <c r="H12" i="67"/>
  <c r="F103" i="67" s="1"/>
  <c r="O11" i="67"/>
  <c r="N11" i="67"/>
  <c r="L11" i="67"/>
  <c r="K11" i="67"/>
  <c r="J11" i="67"/>
  <c r="G11" i="67"/>
  <c r="F11" i="67"/>
  <c r="H10" i="67"/>
  <c r="F100" i="67" s="1"/>
  <c r="H9" i="67"/>
  <c r="I9" i="67" s="1"/>
  <c r="H99" i="67" s="1"/>
  <c r="H8" i="67"/>
  <c r="F98" i="67" s="1"/>
  <c r="H7" i="67"/>
  <c r="F97" i="67" s="1"/>
  <c r="H6" i="67"/>
  <c r="I6" i="67" s="1"/>
  <c r="H96" i="67" s="1"/>
  <c r="H5" i="67"/>
  <c r="I5" i="67" s="1"/>
  <c r="I39" i="68" l="1"/>
  <c r="J77" i="68"/>
  <c r="L82" i="68"/>
  <c r="J59" i="68"/>
  <c r="L59" i="68" s="1"/>
  <c r="H119" i="68"/>
  <c r="H120" i="68" s="1"/>
  <c r="L77" i="68"/>
  <c r="H110" i="68"/>
  <c r="J63" i="68"/>
  <c r="L63" i="68" s="1"/>
  <c r="H122" i="68"/>
  <c r="H124" i="68" s="1"/>
  <c r="J86" i="68"/>
  <c r="L86" i="68" s="1"/>
  <c r="G46" i="68"/>
  <c r="D62" i="68" s="1"/>
  <c r="D63" i="68" s="1"/>
  <c r="D68" i="68" s="1"/>
  <c r="D76" i="68" s="1"/>
  <c r="D78" i="68" s="1"/>
  <c r="F125" i="68"/>
  <c r="J61" i="68"/>
  <c r="L61" i="68" s="1"/>
  <c r="H104" i="68"/>
  <c r="H40" i="68"/>
  <c r="L58" i="68"/>
  <c r="I30" i="68"/>
  <c r="J80" i="68"/>
  <c r="L80" i="68" s="1"/>
  <c r="L74" i="68"/>
  <c r="J71" i="68"/>
  <c r="L71" i="68" s="1"/>
  <c r="I24" i="68"/>
  <c r="H101" i="68"/>
  <c r="I13" i="68"/>
  <c r="J60" i="68"/>
  <c r="L60" i="68" s="1"/>
  <c r="H109" i="68"/>
  <c r="I22" i="68"/>
  <c r="J62" i="68"/>
  <c r="L62" i="68" s="1"/>
  <c r="J53" i="67"/>
  <c r="L53" i="67" s="1"/>
  <c r="G37" i="67"/>
  <c r="G38" i="67"/>
  <c r="I8" i="67"/>
  <c r="H98" i="67" s="1"/>
  <c r="N34" i="67"/>
  <c r="I22" i="67"/>
  <c r="G34" i="67"/>
  <c r="F106" i="67"/>
  <c r="J70" i="67"/>
  <c r="L70" i="67" s="1"/>
  <c r="J77" i="67"/>
  <c r="L77" i="67" s="1"/>
  <c r="H27" i="67"/>
  <c r="G101" i="67"/>
  <c r="G119" i="67" s="1"/>
  <c r="I14" i="67"/>
  <c r="H104" i="67" s="1"/>
  <c r="I24" i="67"/>
  <c r="M33" i="67"/>
  <c r="O34" i="67"/>
  <c r="L34" i="67"/>
  <c r="K34" i="67"/>
  <c r="G36" i="67"/>
  <c r="J34" i="67"/>
  <c r="G35" i="67"/>
  <c r="H33" i="67"/>
  <c r="I28" i="67"/>
  <c r="J63" i="67"/>
  <c r="L63" i="67" s="1"/>
  <c r="F34" i="67"/>
  <c r="J55" i="67"/>
  <c r="L55" i="67" s="1"/>
  <c r="I10" i="67"/>
  <c r="H100" i="67" s="1"/>
  <c r="H95" i="67"/>
  <c r="J52" i="67"/>
  <c r="L71" i="67"/>
  <c r="I7" i="67"/>
  <c r="H97" i="67" s="1"/>
  <c r="I29" i="67"/>
  <c r="G39" i="67"/>
  <c r="J80" i="67"/>
  <c r="F96" i="67"/>
  <c r="H113" i="67"/>
  <c r="H114" i="67" s="1"/>
  <c r="F116" i="67"/>
  <c r="F118" i="67" s="1"/>
  <c r="H11" i="67"/>
  <c r="H19" i="67"/>
  <c r="F95" i="67"/>
  <c r="F99" i="67"/>
  <c r="I12" i="67"/>
  <c r="I20" i="67"/>
  <c r="I21" i="67" s="1"/>
  <c r="H24" i="67"/>
  <c r="I26" i="67"/>
  <c r="H117" i="67" s="1"/>
  <c r="J76" i="67"/>
  <c r="H116" i="67"/>
  <c r="J66" i="66"/>
  <c r="H112" i="68" l="1"/>
  <c r="H107" i="68"/>
  <c r="H125" i="68" s="1"/>
  <c r="I40" i="68"/>
  <c r="L67" i="68"/>
  <c r="J64" i="68"/>
  <c r="L64" i="68" s="1"/>
  <c r="H118" i="67"/>
  <c r="F101" i="67"/>
  <c r="G40" i="67"/>
  <c r="D56" i="67" s="1"/>
  <c r="D57" i="67" s="1"/>
  <c r="D62" i="67" s="1"/>
  <c r="D70" i="67" s="1"/>
  <c r="D72" i="67" s="1"/>
  <c r="J57" i="67"/>
  <c r="L57" i="67" s="1"/>
  <c r="I33" i="67"/>
  <c r="H34" i="67"/>
  <c r="F119" i="67"/>
  <c r="J65" i="67"/>
  <c r="L65" i="67" s="1"/>
  <c r="I27" i="67"/>
  <c r="H101" i="67"/>
  <c r="I19" i="67"/>
  <c r="H103" i="67"/>
  <c r="H106" i="67" s="1"/>
  <c r="L68" i="67"/>
  <c r="J54" i="67"/>
  <c r="L54" i="67" s="1"/>
  <c r="L76" i="67"/>
  <c r="J78" i="67"/>
  <c r="L78" i="67" s="1"/>
  <c r="J69" i="67"/>
  <c r="L69" i="67" s="1"/>
  <c r="L52" i="67"/>
  <c r="L80" i="67"/>
  <c r="I11" i="67"/>
  <c r="H27" i="66"/>
  <c r="I27" i="66" s="1"/>
  <c r="H28" i="66"/>
  <c r="H29" i="66"/>
  <c r="I28" i="66"/>
  <c r="I29" i="66"/>
  <c r="I34" i="67" l="1"/>
  <c r="H119" i="67"/>
  <c r="L61" i="67"/>
  <c r="J74" i="67"/>
  <c r="L74" i="67" s="1"/>
  <c r="M28" i="66"/>
  <c r="M29" i="66"/>
  <c r="M30" i="66"/>
  <c r="M26" i="66"/>
  <c r="M23" i="66"/>
  <c r="M21" i="66"/>
  <c r="M20" i="66"/>
  <c r="M18" i="66"/>
  <c r="M19" i="66" s="1"/>
  <c r="M14" i="66"/>
  <c r="M15" i="66"/>
  <c r="M12" i="66"/>
  <c r="M6" i="66"/>
  <c r="M7" i="66"/>
  <c r="M8" i="66"/>
  <c r="M10" i="66"/>
  <c r="M5" i="66"/>
  <c r="G115" i="66"/>
  <c r="G114" i="66"/>
  <c r="G116" i="66" s="1"/>
  <c r="G111" i="66"/>
  <c r="G112" i="66" s="1"/>
  <c r="H108" i="66"/>
  <c r="G108" i="66"/>
  <c r="F108" i="66"/>
  <c r="G107" i="66"/>
  <c r="H106" i="66"/>
  <c r="H109" i="66" s="1"/>
  <c r="G106" i="66"/>
  <c r="G109" i="66" s="1"/>
  <c r="F106" i="66"/>
  <c r="F109" i="66" s="1"/>
  <c r="G102" i="66"/>
  <c r="G101" i="66"/>
  <c r="G104" i="66" s="1"/>
  <c r="G98" i="66"/>
  <c r="G97" i="66"/>
  <c r="G96" i="66"/>
  <c r="G95" i="66"/>
  <c r="G94" i="66"/>
  <c r="G93" i="66"/>
  <c r="K87" i="66"/>
  <c r="J86" i="66"/>
  <c r="L86" i="66" s="1"/>
  <c r="K84" i="66"/>
  <c r="L84" i="66" s="1"/>
  <c r="J83" i="66"/>
  <c r="L83" i="66" s="1"/>
  <c r="J82" i="66"/>
  <c r="L82" i="66" s="1"/>
  <c r="K80" i="66"/>
  <c r="J71" i="66"/>
  <c r="L71" i="66" s="1"/>
  <c r="J70" i="66"/>
  <c r="L70" i="66" s="1"/>
  <c r="D67" i="66"/>
  <c r="K64" i="66"/>
  <c r="L62" i="66"/>
  <c r="D59" i="66"/>
  <c r="D53" i="66"/>
  <c r="O31" i="66"/>
  <c r="N31" i="66"/>
  <c r="N32" i="66" s="1"/>
  <c r="L31" i="66"/>
  <c r="K31" i="66"/>
  <c r="J31" i="66"/>
  <c r="G31" i="66"/>
  <c r="F31" i="66"/>
  <c r="H30" i="66"/>
  <c r="I30" i="66" s="1"/>
  <c r="J68" i="66"/>
  <c r="L68" i="66" s="1"/>
  <c r="M31" i="66"/>
  <c r="F107" i="66"/>
  <c r="H26" i="66"/>
  <c r="O25" i="66"/>
  <c r="G36" i="66" s="1"/>
  <c r="N25" i="66"/>
  <c r="L25" i="66"/>
  <c r="K25" i="66"/>
  <c r="J25" i="66"/>
  <c r="G25" i="66"/>
  <c r="F25" i="66"/>
  <c r="H24" i="66"/>
  <c r="F115" i="66" s="1"/>
  <c r="H23" i="66"/>
  <c r="F114" i="66" s="1"/>
  <c r="O22" i="66"/>
  <c r="G35" i="66" s="1"/>
  <c r="N22" i="66"/>
  <c r="L22" i="66"/>
  <c r="K22" i="66"/>
  <c r="J22" i="66"/>
  <c r="G22" i="66"/>
  <c r="F22" i="66"/>
  <c r="H21" i="66"/>
  <c r="I21" i="66" s="1"/>
  <c r="H20" i="66"/>
  <c r="F111" i="66" s="1"/>
  <c r="F112" i="66" s="1"/>
  <c r="O19" i="66"/>
  <c r="N19" i="66"/>
  <c r="L19" i="66"/>
  <c r="K19" i="66"/>
  <c r="J19" i="66"/>
  <c r="G19" i="66"/>
  <c r="F19" i="66"/>
  <c r="H18" i="66"/>
  <c r="H19" i="66" s="1"/>
  <c r="O17" i="66"/>
  <c r="N17" i="66"/>
  <c r="L17" i="66"/>
  <c r="K17" i="66"/>
  <c r="J17" i="66"/>
  <c r="G17" i="66"/>
  <c r="F17" i="66"/>
  <c r="H16" i="66"/>
  <c r="I16" i="66" s="1"/>
  <c r="H15" i="66"/>
  <c r="I15" i="66" s="1"/>
  <c r="H14" i="66"/>
  <c r="I14" i="66" s="1"/>
  <c r="H13" i="66"/>
  <c r="F102" i="66" s="1"/>
  <c r="H12" i="66"/>
  <c r="O11" i="66"/>
  <c r="N11" i="66"/>
  <c r="L11" i="66"/>
  <c r="K11" i="66"/>
  <c r="J11" i="66"/>
  <c r="G11" i="66"/>
  <c r="F11" i="66"/>
  <c r="H10" i="66"/>
  <c r="F98" i="66" s="1"/>
  <c r="H9" i="66"/>
  <c r="F97" i="66" s="1"/>
  <c r="H8" i="66"/>
  <c r="F96" i="66" s="1"/>
  <c r="H7" i="66"/>
  <c r="F95" i="66" s="1"/>
  <c r="H6" i="66"/>
  <c r="F94" i="66" s="1"/>
  <c r="H5" i="66"/>
  <c r="L32" i="66" l="1"/>
  <c r="K32" i="66"/>
  <c r="I6" i="66"/>
  <c r="H94" i="66" s="1"/>
  <c r="I23" i="66"/>
  <c r="H114" i="66" s="1"/>
  <c r="H31" i="66"/>
  <c r="I20" i="66"/>
  <c r="J74" i="66" s="1"/>
  <c r="L74" i="66" s="1"/>
  <c r="G99" i="66"/>
  <c r="G117" i="66" s="1"/>
  <c r="G37" i="66"/>
  <c r="G34" i="66"/>
  <c r="G33" i="66"/>
  <c r="J32" i="66"/>
  <c r="I26" i="66"/>
  <c r="L66" i="66" s="1"/>
  <c r="I13" i="66"/>
  <c r="H102" i="66" s="1"/>
  <c r="G32" i="66"/>
  <c r="J61" i="66"/>
  <c r="L61" i="66" s="1"/>
  <c r="H17" i="66"/>
  <c r="I10" i="66"/>
  <c r="H98" i="66" s="1"/>
  <c r="I8" i="66"/>
  <c r="H96" i="66" s="1"/>
  <c r="H11" i="66"/>
  <c r="F32" i="66"/>
  <c r="J51" i="66"/>
  <c r="L51" i="66" s="1"/>
  <c r="J75" i="66"/>
  <c r="L75" i="66" s="1"/>
  <c r="F116" i="66"/>
  <c r="I22" i="66"/>
  <c r="J69" i="66"/>
  <c r="L69" i="66" s="1"/>
  <c r="I5" i="66"/>
  <c r="I9" i="66"/>
  <c r="H97" i="66" s="1"/>
  <c r="I12" i="66"/>
  <c r="J59" i="66" s="1"/>
  <c r="I18" i="66"/>
  <c r="I19" i="66" s="1"/>
  <c r="H22" i="66"/>
  <c r="I24" i="66"/>
  <c r="H115" i="66" s="1"/>
  <c r="H116" i="66" s="1"/>
  <c r="H25" i="66"/>
  <c r="J67" i="66"/>
  <c r="H111" i="66"/>
  <c r="H112" i="66" s="1"/>
  <c r="M22" i="66"/>
  <c r="F93" i="66"/>
  <c r="F99" i="66" s="1"/>
  <c r="I7" i="66"/>
  <c r="H95" i="66" s="1"/>
  <c r="F101" i="66"/>
  <c r="F104" i="66" s="1"/>
  <c r="O32" i="66"/>
  <c r="G38" i="66" l="1"/>
  <c r="D54" i="66" s="1"/>
  <c r="D55" i="66" s="1"/>
  <c r="D60" i="66" s="1"/>
  <c r="D68" i="66" s="1"/>
  <c r="D70" i="66" s="1"/>
  <c r="I25" i="66"/>
  <c r="J78" i="66"/>
  <c r="L78" i="66" s="1"/>
  <c r="J53" i="66"/>
  <c r="L53" i="66" s="1"/>
  <c r="H32" i="66"/>
  <c r="J55" i="66"/>
  <c r="L55" i="66" s="1"/>
  <c r="L67" i="66"/>
  <c r="J72" i="66"/>
  <c r="L72" i="66" s="1"/>
  <c r="I31" i="66"/>
  <c r="F117" i="66"/>
  <c r="L59" i="66"/>
  <c r="H93" i="66"/>
  <c r="H99" i="66" s="1"/>
  <c r="I11" i="66"/>
  <c r="H101" i="66"/>
  <c r="H104" i="66" s="1"/>
  <c r="I17" i="66"/>
  <c r="J63" i="66"/>
  <c r="L63" i="66" s="1"/>
  <c r="J52" i="66"/>
  <c r="L52" i="66" s="1"/>
  <c r="J76" i="66"/>
  <c r="L76" i="66" s="1"/>
  <c r="J50" i="66"/>
  <c r="H16" i="64"/>
  <c r="I16" i="64" s="1"/>
  <c r="H117" i="66" l="1"/>
  <c r="I32" i="66"/>
  <c r="L50" i="66"/>
  <c r="M15" i="65"/>
  <c r="G114" i="65"/>
  <c r="G113" i="65"/>
  <c r="G115" i="65" s="1"/>
  <c r="G110" i="65"/>
  <c r="G111" i="65" s="1"/>
  <c r="H107" i="65"/>
  <c r="G107" i="65"/>
  <c r="F107" i="65"/>
  <c r="G106" i="65"/>
  <c r="H105" i="65"/>
  <c r="H108" i="65" s="1"/>
  <c r="G105" i="65"/>
  <c r="G108" i="65" s="1"/>
  <c r="F105" i="65"/>
  <c r="F108" i="65" s="1"/>
  <c r="G101" i="65"/>
  <c r="G100" i="65"/>
  <c r="G103" i="65" s="1"/>
  <c r="G97" i="65"/>
  <c r="G96" i="65"/>
  <c r="G95" i="65"/>
  <c r="G94" i="65"/>
  <c r="G93" i="65"/>
  <c r="G92" i="65"/>
  <c r="K86" i="65"/>
  <c r="J85" i="65"/>
  <c r="L85" i="65" s="1"/>
  <c r="K83" i="65"/>
  <c r="L83" i="65" s="1"/>
  <c r="J82" i="65"/>
  <c r="L82" i="65" s="1"/>
  <c r="J81" i="65"/>
  <c r="L81" i="65" s="1"/>
  <c r="K79" i="65"/>
  <c r="J70" i="65"/>
  <c r="L70" i="65" s="1"/>
  <c r="J69" i="65"/>
  <c r="L69" i="65" s="1"/>
  <c r="D66" i="65"/>
  <c r="K63" i="65"/>
  <c r="L61" i="65"/>
  <c r="D58" i="65"/>
  <c r="D52" i="65"/>
  <c r="O30" i="65"/>
  <c r="N30" i="65"/>
  <c r="L30" i="65"/>
  <c r="K30" i="65"/>
  <c r="J30" i="65"/>
  <c r="G30" i="65"/>
  <c r="F30" i="65"/>
  <c r="H29" i="65"/>
  <c r="I29" i="65" s="1"/>
  <c r="H28" i="65"/>
  <c r="I28" i="65" s="1"/>
  <c r="H27" i="65"/>
  <c r="F106" i="65" s="1"/>
  <c r="H26" i="65"/>
  <c r="I26" i="65" s="1"/>
  <c r="O25" i="65"/>
  <c r="N25" i="65"/>
  <c r="L25" i="65"/>
  <c r="K25" i="65"/>
  <c r="J25" i="65"/>
  <c r="G25" i="65"/>
  <c r="F25" i="65"/>
  <c r="H24" i="65"/>
  <c r="F114" i="65" s="1"/>
  <c r="H23" i="65"/>
  <c r="O22" i="65"/>
  <c r="N22" i="65"/>
  <c r="L22" i="65"/>
  <c r="K22" i="65"/>
  <c r="J22" i="65"/>
  <c r="G22" i="65"/>
  <c r="F22" i="65"/>
  <c r="H21" i="65"/>
  <c r="I21" i="65" s="1"/>
  <c r="H20" i="65"/>
  <c r="F110" i="65" s="1"/>
  <c r="F111" i="65" s="1"/>
  <c r="O19" i="65"/>
  <c r="N19" i="65"/>
  <c r="L19" i="65"/>
  <c r="K19" i="65"/>
  <c r="J19" i="65"/>
  <c r="G19" i="65"/>
  <c r="F19" i="65"/>
  <c r="H18" i="65"/>
  <c r="H19" i="65" s="1"/>
  <c r="O17" i="65"/>
  <c r="N17" i="65"/>
  <c r="L17" i="65"/>
  <c r="K17" i="65"/>
  <c r="J17" i="65"/>
  <c r="G17" i="65"/>
  <c r="F17" i="65"/>
  <c r="H16" i="65"/>
  <c r="I16" i="65" s="1"/>
  <c r="H15" i="65"/>
  <c r="I15" i="65" s="1"/>
  <c r="H14" i="65"/>
  <c r="I14" i="65" s="1"/>
  <c r="H13" i="65"/>
  <c r="F101" i="65" s="1"/>
  <c r="H12" i="65"/>
  <c r="F100" i="65" s="1"/>
  <c r="O11" i="65"/>
  <c r="N11" i="65"/>
  <c r="L11" i="65"/>
  <c r="K11" i="65"/>
  <c r="J11" i="65"/>
  <c r="G11" i="65"/>
  <c r="F11" i="65"/>
  <c r="H10" i="65"/>
  <c r="F97" i="65" s="1"/>
  <c r="H9" i="65"/>
  <c r="F96" i="65" s="1"/>
  <c r="H8" i="65"/>
  <c r="F95" i="65" s="1"/>
  <c r="H7" i="65"/>
  <c r="F94" i="65" s="1"/>
  <c r="H6" i="65"/>
  <c r="F93" i="65" s="1"/>
  <c r="H5" i="65"/>
  <c r="I6" i="65" l="1"/>
  <c r="G98" i="65"/>
  <c r="G116" i="65" s="1"/>
  <c r="H25" i="65"/>
  <c r="G34" i="65"/>
  <c r="G35" i="65"/>
  <c r="N31" i="65"/>
  <c r="I20" i="65"/>
  <c r="I23" i="65"/>
  <c r="K31" i="65"/>
  <c r="O31" i="65"/>
  <c r="L31" i="65"/>
  <c r="G33" i="65"/>
  <c r="J31" i="65"/>
  <c r="G32" i="65"/>
  <c r="G31" i="65"/>
  <c r="H30" i="65"/>
  <c r="I13" i="65"/>
  <c r="F103" i="65"/>
  <c r="I10" i="65"/>
  <c r="H97" i="65" s="1"/>
  <c r="H11" i="65"/>
  <c r="I8" i="65"/>
  <c r="H95" i="65" s="1"/>
  <c r="F31" i="65"/>
  <c r="I22" i="65"/>
  <c r="I5" i="65"/>
  <c r="I9" i="65"/>
  <c r="H96" i="65" s="1"/>
  <c r="I12" i="65"/>
  <c r="G36" i="65"/>
  <c r="H110" i="65"/>
  <c r="H111" i="65" s="1"/>
  <c r="F113" i="65"/>
  <c r="F115" i="65" s="1"/>
  <c r="H17" i="65"/>
  <c r="F92" i="65"/>
  <c r="F98" i="65" s="1"/>
  <c r="I7" i="65"/>
  <c r="H94" i="65" s="1"/>
  <c r="I18" i="65"/>
  <c r="I19" i="65" s="1"/>
  <c r="H22" i="65"/>
  <c r="I24" i="65"/>
  <c r="H114" i="65" s="1"/>
  <c r="I27" i="65"/>
  <c r="I30" i="65" s="1"/>
  <c r="H113" i="65"/>
  <c r="N34" i="64"/>
  <c r="L34" i="64"/>
  <c r="K34" i="64"/>
  <c r="M12" i="64"/>
  <c r="N25" i="64"/>
  <c r="O25" i="64"/>
  <c r="H101" i="65" l="1"/>
  <c r="H93" i="65"/>
  <c r="H115" i="65"/>
  <c r="G37" i="65"/>
  <c r="D53" i="65" s="1"/>
  <c r="D54" i="65" s="1"/>
  <c r="D59" i="65" s="1"/>
  <c r="D67" i="65" s="1"/>
  <c r="D69" i="65" s="1"/>
  <c r="H31" i="65"/>
  <c r="F116" i="65"/>
  <c r="H92" i="65"/>
  <c r="H98" i="65" s="1"/>
  <c r="I11" i="65"/>
  <c r="I25" i="65"/>
  <c r="I17" i="65"/>
  <c r="H100" i="65"/>
  <c r="H103" i="65" s="1"/>
  <c r="F24" i="2"/>
  <c r="H116" i="65" l="1"/>
  <c r="I31" i="65"/>
  <c r="M24" i="64"/>
  <c r="M23" i="64"/>
  <c r="M21" i="64"/>
  <c r="M18" i="64"/>
  <c r="M17" i="64"/>
  <c r="M6" i="64"/>
  <c r="M7" i="64"/>
  <c r="M8" i="64"/>
  <c r="M10" i="64"/>
  <c r="M5" i="64"/>
  <c r="M25" i="64" l="1"/>
  <c r="O34" i="64"/>
  <c r="J34" i="64"/>
  <c r="G34" i="64"/>
  <c r="H33" i="64"/>
  <c r="I33" i="64" s="1"/>
  <c r="F34" i="64"/>
  <c r="H15" i="64"/>
  <c r="I15" i="64" s="1"/>
  <c r="H14" i="64"/>
  <c r="I14" i="64" s="1"/>
  <c r="H32" i="62" l="1"/>
  <c r="I32" i="62" s="1"/>
  <c r="H33" i="62"/>
  <c r="H34" i="62"/>
  <c r="I33" i="62"/>
  <c r="G118" i="64" l="1"/>
  <c r="G117" i="64"/>
  <c r="G114" i="64"/>
  <c r="G115" i="64" s="1"/>
  <c r="H111" i="64"/>
  <c r="G111" i="64"/>
  <c r="F111" i="64"/>
  <c r="G110" i="64"/>
  <c r="H109" i="64"/>
  <c r="H112" i="64" s="1"/>
  <c r="G109" i="64"/>
  <c r="G112" i="64" s="1"/>
  <c r="F109" i="64"/>
  <c r="F112" i="64" s="1"/>
  <c r="G105" i="64"/>
  <c r="G107" i="64" s="1"/>
  <c r="G104" i="64"/>
  <c r="G101" i="64"/>
  <c r="G100" i="64"/>
  <c r="G99" i="64"/>
  <c r="G98" i="64"/>
  <c r="G97" i="64"/>
  <c r="G96" i="64"/>
  <c r="K90" i="64"/>
  <c r="J89" i="64"/>
  <c r="L89" i="64" s="1"/>
  <c r="K87" i="64"/>
  <c r="L87" i="64" s="1"/>
  <c r="J86" i="64"/>
  <c r="L86" i="64" s="1"/>
  <c r="J85" i="64"/>
  <c r="L85" i="64" s="1"/>
  <c r="K83" i="64"/>
  <c r="J74" i="64"/>
  <c r="L74" i="64" s="1"/>
  <c r="J73" i="64"/>
  <c r="L73" i="64" s="1"/>
  <c r="D70" i="64"/>
  <c r="K67" i="64"/>
  <c r="L65" i="64"/>
  <c r="D62" i="64"/>
  <c r="D56" i="64"/>
  <c r="H32" i="64"/>
  <c r="I32" i="64" s="1"/>
  <c r="H31" i="64"/>
  <c r="I31" i="64" s="1"/>
  <c r="H30" i="64"/>
  <c r="F110" i="64" s="1"/>
  <c r="H29" i="64"/>
  <c r="O28" i="64"/>
  <c r="N28" i="64"/>
  <c r="L28" i="64"/>
  <c r="K28" i="64"/>
  <c r="J28" i="64"/>
  <c r="G28" i="64"/>
  <c r="F28" i="64"/>
  <c r="H27" i="64"/>
  <c r="F118" i="64" s="1"/>
  <c r="H26" i="64"/>
  <c r="I26" i="64" s="1"/>
  <c r="L25" i="64"/>
  <c r="K25" i="64"/>
  <c r="J25" i="64"/>
  <c r="G25" i="64"/>
  <c r="F25" i="64"/>
  <c r="H24" i="64"/>
  <c r="I24" i="64" s="1"/>
  <c r="J78" i="64" s="1"/>
  <c r="M21" i="65" s="1"/>
  <c r="J74" i="65" s="1"/>
  <c r="L74" i="65" s="1"/>
  <c r="H23" i="64"/>
  <c r="F114" i="64" s="1"/>
  <c r="F115" i="64" s="1"/>
  <c r="O22" i="64"/>
  <c r="N22" i="64"/>
  <c r="L22" i="64"/>
  <c r="K22" i="64"/>
  <c r="J22" i="64"/>
  <c r="G22" i="64"/>
  <c r="F22" i="64"/>
  <c r="H21" i="64"/>
  <c r="I21" i="64" s="1"/>
  <c r="I22" i="64" s="1"/>
  <c r="O20" i="64"/>
  <c r="N20" i="64"/>
  <c r="L20" i="64"/>
  <c r="K20" i="64"/>
  <c r="J20" i="64"/>
  <c r="G20" i="64"/>
  <c r="F20" i="64"/>
  <c r="H19" i="64"/>
  <c r="I19" i="64" s="1"/>
  <c r="H18" i="64"/>
  <c r="I18" i="64" s="1"/>
  <c r="H17" i="64"/>
  <c r="I17" i="64" s="1"/>
  <c r="H13" i="64"/>
  <c r="F105" i="64" s="1"/>
  <c r="H12" i="64"/>
  <c r="F104" i="64" s="1"/>
  <c r="O11" i="64"/>
  <c r="N11" i="64"/>
  <c r="L11" i="64"/>
  <c r="K11" i="64"/>
  <c r="J11" i="64"/>
  <c r="G11" i="64"/>
  <c r="F11" i="64"/>
  <c r="H10" i="64"/>
  <c r="F101" i="64" s="1"/>
  <c r="H9" i="64"/>
  <c r="F100" i="64" s="1"/>
  <c r="H8" i="64"/>
  <c r="F99" i="64" s="1"/>
  <c r="H7" i="64"/>
  <c r="F98" i="64" s="1"/>
  <c r="H6" i="64"/>
  <c r="F97" i="64" s="1"/>
  <c r="H5" i="64"/>
  <c r="F96" i="64" s="1"/>
  <c r="L78" i="64" l="1"/>
  <c r="I27" i="64"/>
  <c r="H118" i="64" s="1"/>
  <c r="G119" i="64"/>
  <c r="G39" i="64"/>
  <c r="K35" i="64"/>
  <c r="G38" i="64"/>
  <c r="L35" i="64"/>
  <c r="G102" i="64"/>
  <c r="G120" i="64" s="1"/>
  <c r="H22" i="64"/>
  <c r="I30" i="64"/>
  <c r="I12" i="64"/>
  <c r="H104" i="64" s="1"/>
  <c r="H34" i="64"/>
  <c r="N35" i="64"/>
  <c r="G37" i="64"/>
  <c r="G36" i="64"/>
  <c r="J35" i="64"/>
  <c r="G35" i="64"/>
  <c r="F107" i="64"/>
  <c r="I9" i="64"/>
  <c r="H100" i="64" s="1"/>
  <c r="I7" i="64"/>
  <c r="H98" i="64" s="1"/>
  <c r="I5" i="64"/>
  <c r="H96" i="64" s="1"/>
  <c r="F35" i="64"/>
  <c r="F102" i="64"/>
  <c r="H117" i="64"/>
  <c r="H119" i="64" s="1"/>
  <c r="I28" i="64"/>
  <c r="I6" i="64"/>
  <c r="H97" i="64" s="1"/>
  <c r="I10" i="64"/>
  <c r="H101" i="64" s="1"/>
  <c r="H11" i="64"/>
  <c r="I13" i="64"/>
  <c r="H20" i="64"/>
  <c r="O35" i="64"/>
  <c r="F117" i="64"/>
  <c r="F119" i="64" s="1"/>
  <c r="H28" i="64"/>
  <c r="G40" i="64"/>
  <c r="H25" i="64"/>
  <c r="I8" i="64"/>
  <c r="H99" i="64" s="1"/>
  <c r="I23" i="64"/>
  <c r="I29" i="64"/>
  <c r="I34" i="64" s="1"/>
  <c r="H105" i="64" l="1"/>
  <c r="H107" i="64"/>
  <c r="G41" i="64"/>
  <c r="D57" i="64" s="1"/>
  <c r="D58" i="64" s="1"/>
  <c r="D63" i="64" s="1"/>
  <c r="D71" i="64" s="1"/>
  <c r="D73" i="64" s="1"/>
  <c r="H35" i="64"/>
  <c r="F120" i="64"/>
  <c r="H102" i="64"/>
  <c r="I20" i="64"/>
  <c r="I11" i="64"/>
  <c r="I25" i="64"/>
  <c r="H114" i="64"/>
  <c r="H115" i="64" s="1"/>
  <c r="M21" i="63"/>
  <c r="M15" i="63"/>
  <c r="G114" i="63"/>
  <c r="G113" i="63"/>
  <c r="G115" i="63" s="1"/>
  <c r="G110" i="63"/>
  <c r="G111" i="63" s="1"/>
  <c r="H107" i="63"/>
  <c r="G107" i="63"/>
  <c r="F107" i="63"/>
  <c r="G106" i="63"/>
  <c r="H105" i="63"/>
  <c r="H108" i="63" s="1"/>
  <c r="G105" i="63"/>
  <c r="G108" i="63" s="1"/>
  <c r="F105" i="63"/>
  <c r="F108" i="63" s="1"/>
  <c r="G101" i="63"/>
  <c r="G100" i="63"/>
  <c r="G97" i="63"/>
  <c r="G96" i="63"/>
  <c r="G95" i="63"/>
  <c r="G94" i="63"/>
  <c r="G93" i="63"/>
  <c r="G92" i="63"/>
  <c r="K86" i="63"/>
  <c r="J85" i="63"/>
  <c r="L85" i="63" s="1"/>
  <c r="K83" i="63"/>
  <c r="L83" i="63" s="1"/>
  <c r="J82" i="63"/>
  <c r="L82" i="63" s="1"/>
  <c r="J81" i="63"/>
  <c r="L81" i="63" s="1"/>
  <c r="K79" i="63"/>
  <c r="L74" i="63"/>
  <c r="J70" i="63"/>
  <c r="L70" i="63" s="1"/>
  <c r="J69" i="63"/>
  <c r="L69" i="63" s="1"/>
  <c r="D66" i="63"/>
  <c r="K63" i="63"/>
  <c r="L61" i="63"/>
  <c r="D58" i="63"/>
  <c r="D52" i="63"/>
  <c r="O30" i="63"/>
  <c r="N30" i="63"/>
  <c r="L30" i="63"/>
  <c r="K30" i="63"/>
  <c r="J30" i="63"/>
  <c r="G30" i="63"/>
  <c r="F30" i="63"/>
  <c r="H29" i="63"/>
  <c r="I29" i="63" s="1"/>
  <c r="H28" i="63"/>
  <c r="I28" i="63" s="1"/>
  <c r="H27" i="63"/>
  <c r="F106" i="63" s="1"/>
  <c r="H26" i="63"/>
  <c r="O25" i="63"/>
  <c r="N25" i="63"/>
  <c r="L25" i="63"/>
  <c r="K25" i="63"/>
  <c r="J25" i="63"/>
  <c r="G25" i="63"/>
  <c r="F25" i="63"/>
  <c r="H24" i="63"/>
  <c r="F114" i="63" s="1"/>
  <c r="H23" i="63"/>
  <c r="O22" i="63"/>
  <c r="N22" i="63"/>
  <c r="L22" i="63"/>
  <c r="G34" i="63" s="1"/>
  <c r="K22" i="63"/>
  <c r="J22" i="63"/>
  <c r="G22" i="63"/>
  <c r="F22" i="63"/>
  <c r="H21" i="63"/>
  <c r="I21" i="63" s="1"/>
  <c r="H20" i="63"/>
  <c r="O19" i="63"/>
  <c r="N19" i="63"/>
  <c r="L19" i="63"/>
  <c r="K19" i="63"/>
  <c r="J19" i="63"/>
  <c r="G19" i="63"/>
  <c r="F19" i="63"/>
  <c r="H18" i="63"/>
  <c r="H19" i="63" s="1"/>
  <c r="O17" i="63"/>
  <c r="N17" i="63"/>
  <c r="L17" i="63"/>
  <c r="K17" i="63"/>
  <c r="J17" i="63"/>
  <c r="G17" i="63"/>
  <c r="F17" i="63"/>
  <c r="H16" i="63"/>
  <c r="I16" i="63" s="1"/>
  <c r="H15" i="63"/>
  <c r="I15" i="63" s="1"/>
  <c r="H14" i="63"/>
  <c r="I14" i="63" s="1"/>
  <c r="H13" i="63"/>
  <c r="F101" i="63" s="1"/>
  <c r="H12" i="63"/>
  <c r="F100" i="63" s="1"/>
  <c r="O11" i="63"/>
  <c r="N11" i="63"/>
  <c r="L11" i="63"/>
  <c r="K11" i="63"/>
  <c r="J11" i="63"/>
  <c r="G11" i="63"/>
  <c r="F11" i="63"/>
  <c r="H10" i="63"/>
  <c r="F97" i="63" s="1"/>
  <c r="H9" i="63"/>
  <c r="I9" i="63" s="1"/>
  <c r="H96" i="63" s="1"/>
  <c r="H8" i="63"/>
  <c r="F95" i="63" s="1"/>
  <c r="H7" i="63"/>
  <c r="F94" i="63" s="1"/>
  <c r="H6" i="63"/>
  <c r="F93" i="63" s="1"/>
  <c r="H5" i="63"/>
  <c r="F92" i="63" s="1"/>
  <c r="H120" i="64" l="1"/>
  <c r="I35" i="64"/>
  <c r="G103" i="63"/>
  <c r="I6" i="63"/>
  <c r="H93" i="63" s="1"/>
  <c r="I18" i="63"/>
  <c r="H25" i="63"/>
  <c r="I24" i="63"/>
  <c r="G35" i="63"/>
  <c r="I27" i="63"/>
  <c r="N31" i="63"/>
  <c r="H30" i="63"/>
  <c r="G98" i="63"/>
  <c r="L31" i="63"/>
  <c r="K31" i="63"/>
  <c r="G33" i="63"/>
  <c r="G32" i="63"/>
  <c r="J31" i="63"/>
  <c r="H22" i="63"/>
  <c r="I13" i="63"/>
  <c r="H101" i="63" s="1"/>
  <c r="F103" i="63"/>
  <c r="G31" i="63"/>
  <c r="I10" i="63"/>
  <c r="H97" i="63" s="1"/>
  <c r="I8" i="63"/>
  <c r="H95" i="63" s="1"/>
  <c r="F31" i="63"/>
  <c r="I5" i="63"/>
  <c r="I7" i="63"/>
  <c r="H94" i="63" s="1"/>
  <c r="I20" i="63"/>
  <c r="I23" i="63"/>
  <c r="I26" i="63"/>
  <c r="I30" i="63" s="1"/>
  <c r="O31" i="63"/>
  <c r="F113" i="63"/>
  <c r="F115" i="63" s="1"/>
  <c r="G36" i="63"/>
  <c r="F96" i="63"/>
  <c r="F98" i="63" s="1"/>
  <c r="H11" i="63"/>
  <c r="I12" i="63"/>
  <c r="H17" i="63"/>
  <c r="F110" i="63"/>
  <c r="F111" i="63" s="1"/>
  <c r="G116" i="63" l="1"/>
  <c r="H114" i="63"/>
  <c r="I19" i="63"/>
  <c r="G37" i="63"/>
  <c r="D53" i="63" s="1"/>
  <c r="D54" i="63" s="1"/>
  <c r="D59" i="63" s="1"/>
  <c r="D67" i="63" s="1"/>
  <c r="D69" i="63" s="1"/>
  <c r="H31" i="63"/>
  <c r="F116" i="63"/>
  <c r="H113" i="63"/>
  <c r="H115" i="63" s="1"/>
  <c r="I25" i="63"/>
  <c r="H92" i="63"/>
  <c r="H98" i="63" s="1"/>
  <c r="I11" i="63"/>
  <c r="H100" i="63"/>
  <c r="H103" i="63" s="1"/>
  <c r="I17" i="63"/>
  <c r="H110" i="63"/>
  <c r="H111" i="63" s="1"/>
  <c r="I22" i="63"/>
  <c r="M22" i="63" s="1"/>
  <c r="M25" i="62"/>
  <c r="M24" i="62"/>
  <c r="I31" i="63" l="1"/>
  <c r="H116" i="63"/>
  <c r="M22" i="61"/>
  <c r="H17" i="62" l="1"/>
  <c r="I17" i="62" s="1"/>
  <c r="H18" i="62"/>
  <c r="I18" i="62" s="1"/>
  <c r="H16" i="62" l="1"/>
  <c r="I16" i="62" s="1"/>
  <c r="H31" i="62"/>
  <c r="I31" i="62" s="1"/>
  <c r="H6" i="62"/>
  <c r="I6" i="62" s="1"/>
  <c r="H7" i="62"/>
  <c r="H8" i="62"/>
  <c r="I8" i="62" s="1"/>
  <c r="I7" i="62"/>
  <c r="H15" i="62" l="1"/>
  <c r="I15" i="62" s="1"/>
  <c r="M33" i="62" l="1"/>
  <c r="M34" i="62"/>
  <c r="M35" i="62"/>
  <c r="M27" i="62"/>
  <c r="M22" i="62"/>
  <c r="M18" i="62"/>
  <c r="M13" i="62"/>
  <c r="M8" i="62"/>
  <c r="M9" i="62"/>
  <c r="M10" i="62"/>
  <c r="M11" i="62"/>
  <c r="M5" i="62"/>
  <c r="J55" i="62" s="1"/>
  <c r="M5" i="63" s="1"/>
  <c r="G120" i="62"/>
  <c r="G119" i="62"/>
  <c r="G121" i="62" s="1"/>
  <c r="G116" i="62"/>
  <c r="G117" i="62" s="1"/>
  <c r="H113" i="62"/>
  <c r="G113" i="62"/>
  <c r="F113" i="62"/>
  <c r="G112" i="62"/>
  <c r="H111" i="62"/>
  <c r="H114" i="62" s="1"/>
  <c r="G111" i="62"/>
  <c r="G114" i="62" s="1"/>
  <c r="F111" i="62"/>
  <c r="F114" i="62" s="1"/>
  <c r="G107" i="62"/>
  <c r="G106" i="62"/>
  <c r="G103" i="62"/>
  <c r="G102" i="62"/>
  <c r="G101" i="62"/>
  <c r="G100" i="62"/>
  <c r="G99" i="62"/>
  <c r="G98" i="62"/>
  <c r="K92" i="62"/>
  <c r="J91" i="62"/>
  <c r="L91" i="62" s="1"/>
  <c r="K89" i="62"/>
  <c r="L89" i="62" s="1"/>
  <c r="J88" i="62"/>
  <c r="L88" i="62" s="1"/>
  <c r="J87" i="62"/>
  <c r="L87" i="62" s="1"/>
  <c r="K85" i="62"/>
  <c r="J76" i="62"/>
  <c r="L76" i="62" s="1"/>
  <c r="J75" i="62"/>
  <c r="L75" i="62" s="1"/>
  <c r="D72" i="62"/>
  <c r="K69" i="62"/>
  <c r="L67" i="62"/>
  <c r="D64" i="62"/>
  <c r="D58" i="62"/>
  <c r="O36" i="62"/>
  <c r="N36" i="62"/>
  <c r="L36" i="62"/>
  <c r="K36" i="62"/>
  <c r="J36" i="62"/>
  <c r="G36" i="62"/>
  <c r="F36" i="62"/>
  <c r="H35" i="62"/>
  <c r="I35" i="62" s="1"/>
  <c r="I34" i="62"/>
  <c r="J73" i="62" s="1"/>
  <c r="F112" i="62"/>
  <c r="H30" i="62"/>
  <c r="O29" i="62"/>
  <c r="N29" i="62"/>
  <c r="L29" i="62"/>
  <c r="K29" i="62"/>
  <c r="J29" i="62"/>
  <c r="G29" i="62"/>
  <c r="F29" i="62"/>
  <c r="H28" i="62"/>
  <c r="F120" i="62" s="1"/>
  <c r="H27" i="62"/>
  <c r="F119" i="62" s="1"/>
  <c r="O26" i="62"/>
  <c r="N26" i="62"/>
  <c r="L26" i="62"/>
  <c r="K26" i="62"/>
  <c r="J26" i="62"/>
  <c r="G26" i="62"/>
  <c r="F26" i="62"/>
  <c r="H25" i="62"/>
  <c r="I25" i="62" s="1"/>
  <c r="H24" i="62"/>
  <c r="F116" i="62" s="1"/>
  <c r="F117" i="62" s="1"/>
  <c r="O23" i="62"/>
  <c r="N23" i="62"/>
  <c r="L23" i="62"/>
  <c r="K23" i="62"/>
  <c r="J23" i="62"/>
  <c r="G23" i="62"/>
  <c r="F23" i="62"/>
  <c r="M23" i="62"/>
  <c r="H22" i="62"/>
  <c r="H23" i="62" s="1"/>
  <c r="O21" i="62"/>
  <c r="N21" i="62"/>
  <c r="L21" i="62"/>
  <c r="K21" i="62"/>
  <c r="J21" i="62"/>
  <c r="G21" i="62"/>
  <c r="F21" i="62"/>
  <c r="H20" i="62"/>
  <c r="I20" i="62" s="1"/>
  <c r="H19" i="62"/>
  <c r="I19" i="62" s="1"/>
  <c r="H14" i="62"/>
  <c r="I14" i="62" s="1"/>
  <c r="H107" i="62" s="1"/>
  <c r="H13" i="62"/>
  <c r="O12" i="62"/>
  <c r="N12" i="62"/>
  <c r="L12" i="62"/>
  <c r="K12" i="62"/>
  <c r="G12" i="62"/>
  <c r="F12" i="62"/>
  <c r="H11" i="62"/>
  <c r="I11" i="62" s="1"/>
  <c r="H103" i="62" s="1"/>
  <c r="J12" i="62"/>
  <c r="H10" i="62"/>
  <c r="I10" i="62" s="1"/>
  <c r="H102" i="62" s="1"/>
  <c r="H9" i="62"/>
  <c r="F101" i="62" s="1"/>
  <c r="F100" i="62"/>
  <c r="F99" i="62"/>
  <c r="H5" i="62"/>
  <c r="L73" i="62" l="1"/>
  <c r="M28" i="63"/>
  <c r="J67" i="63" s="1"/>
  <c r="J53" i="64"/>
  <c r="M5" i="65" s="1"/>
  <c r="J49" i="63"/>
  <c r="I24" i="62"/>
  <c r="G104" i="62"/>
  <c r="J79" i="62"/>
  <c r="G41" i="62"/>
  <c r="L37" i="62"/>
  <c r="G40" i="62"/>
  <c r="H36" i="62"/>
  <c r="N37" i="62"/>
  <c r="H99" i="62"/>
  <c r="I27" i="62"/>
  <c r="K37" i="62"/>
  <c r="G109" i="62"/>
  <c r="G122" i="62" s="1"/>
  <c r="O37" i="62"/>
  <c r="G39" i="62"/>
  <c r="G38" i="62"/>
  <c r="G37" i="62"/>
  <c r="I30" i="62"/>
  <c r="J66" i="62"/>
  <c r="H21" i="62"/>
  <c r="I13" i="62"/>
  <c r="H106" i="62" s="1"/>
  <c r="J59" i="62"/>
  <c r="I9" i="62"/>
  <c r="H101" i="62" s="1"/>
  <c r="H12" i="62"/>
  <c r="F37" i="62"/>
  <c r="F121" i="62"/>
  <c r="J37" i="62"/>
  <c r="J60" i="62"/>
  <c r="H109" i="62"/>
  <c r="I26" i="62"/>
  <c r="J74" i="62"/>
  <c r="H100" i="62"/>
  <c r="I21" i="62"/>
  <c r="I22" i="62"/>
  <c r="I23" i="62" s="1"/>
  <c r="H26" i="62"/>
  <c r="M26" i="62" s="1"/>
  <c r="I28" i="62"/>
  <c r="H120" i="62" s="1"/>
  <c r="H29" i="62"/>
  <c r="J72" i="62"/>
  <c r="G42" i="62"/>
  <c r="F103" i="62"/>
  <c r="H116" i="62"/>
  <c r="H117" i="62" s="1"/>
  <c r="F98" i="62"/>
  <c r="F102" i="62"/>
  <c r="F107" i="62"/>
  <c r="I5" i="62"/>
  <c r="F106" i="62"/>
  <c r="J9" i="61"/>
  <c r="J49" i="65" l="1"/>
  <c r="L59" i="62"/>
  <c r="M9" i="63"/>
  <c r="L67" i="63"/>
  <c r="M31" i="64"/>
  <c r="J71" i="64" s="1"/>
  <c r="L60" i="62"/>
  <c r="M10" i="63"/>
  <c r="L74" i="62"/>
  <c r="M29" i="63"/>
  <c r="J68" i="63" s="1"/>
  <c r="L79" i="62"/>
  <c r="M20" i="63"/>
  <c r="J73" i="63" s="1"/>
  <c r="L53" i="64"/>
  <c r="L72" i="62"/>
  <c r="M27" i="63"/>
  <c r="J66" i="63" s="1"/>
  <c r="L66" i="62"/>
  <c r="M14" i="63"/>
  <c r="J60" i="63" s="1"/>
  <c r="L49" i="63"/>
  <c r="I29" i="62"/>
  <c r="H119" i="62"/>
  <c r="H121" i="62" s="1"/>
  <c r="J83" i="62"/>
  <c r="G43" i="62"/>
  <c r="D59" i="62" s="1"/>
  <c r="D60" i="62" s="1"/>
  <c r="D65" i="62" s="1"/>
  <c r="D73" i="62" s="1"/>
  <c r="D75" i="62" s="1"/>
  <c r="J58" i="62"/>
  <c r="F109" i="62"/>
  <c r="J64" i="62"/>
  <c r="H37" i="62"/>
  <c r="L55" i="62"/>
  <c r="F104" i="62"/>
  <c r="F122" i="62" s="1"/>
  <c r="H98" i="62"/>
  <c r="H104" i="62" s="1"/>
  <c r="I12" i="62"/>
  <c r="J68" i="62"/>
  <c r="I36" i="62"/>
  <c r="J57" i="62"/>
  <c r="L71" i="64" l="1"/>
  <c r="M28" i="65"/>
  <c r="J67" i="65" s="1"/>
  <c r="L67" i="65" s="1"/>
  <c r="L49" i="65"/>
  <c r="L68" i="62"/>
  <c r="M18" i="63"/>
  <c r="L64" i="62"/>
  <c r="M12" i="63"/>
  <c r="L83" i="62"/>
  <c r="M23" i="63"/>
  <c r="J77" i="63" s="1"/>
  <c r="L60" i="63"/>
  <c r="J64" i="64"/>
  <c r="J77" i="64"/>
  <c r="M20" i="65" s="1"/>
  <c r="J75" i="63"/>
  <c r="L75" i="63" s="1"/>
  <c r="L73" i="63"/>
  <c r="J58" i="64"/>
  <c r="J54" i="63"/>
  <c r="L54" i="63" s="1"/>
  <c r="J53" i="63"/>
  <c r="L58" i="62"/>
  <c r="M8" i="63"/>
  <c r="L57" i="62"/>
  <c r="M7" i="63"/>
  <c r="L66" i="63"/>
  <c r="M30" i="64"/>
  <c r="J70" i="64" s="1"/>
  <c r="L68" i="63"/>
  <c r="M32" i="64"/>
  <c r="H122" i="62"/>
  <c r="I37" i="62"/>
  <c r="I14" i="61"/>
  <c r="H14" i="61"/>
  <c r="L53" i="63" l="1"/>
  <c r="M9" i="64"/>
  <c r="J57" i="64" s="1"/>
  <c r="M9" i="65" s="1"/>
  <c r="J53" i="65" s="1"/>
  <c r="L70" i="64"/>
  <c r="M27" i="65"/>
  <c r="L58" i="64"/>
  <c r="M10" i="65"/>
  <c r="J54" i="65" s="1"/>
  <c r="L54" i="65" s="1"/>
  <c r="L64" i="64"/>
  <c r="M14" i="65"/>
  <c r="J60" i="65" s="1"/>
  <c r="L60" i="65" s="1"/>
  <c r="J72" i="64"/>
  <c r="M29" i="65" s="1"/>
  <c r="J68" i="65" s="1"/>
  <c r="L68" i="65" s="1"/>
  <c r="L57" i="64"/>
  <c r="M22" i="65"/>
  <c r="J73" i="65"/>
  <c r="J58" i="63"/>
  <c r="M26" i="64"/>
  <c r="J81" i="64" s="1"/>
  <c r="L77" i="63"/>
  <c r="M19" i="63"/>
  <c r="J62" i="63"/>
  <c r="J55" i="64"/>
  <c r="J51" i="63"/>
  <c r="L51" i="63" s="1"/>
  <c r="J56" i="64"/>
  <c r="J52" i="63"/>
  <c r="L52" i="63" s="1"/>
  <c r="J79" i="64"/>
  <c r="L79" i="64" s="1"/>
  <c r="L77" i="64"/>
  <c r="M28" i="61"/>
  <c r="M29" i="61"/>
  <c r="M30" i="61"/>
  <c r="M24" i="61"/>
  <c r="M21" i="61"/>
  <c r="M19" i="61"/>
  <c r="M20" i="61" s="1"/>
  <c r="M15" i="61"/>
  <c r="M12" i="61"/>
  <c r="M6" i="61"/>
  <c r="M7" i="61"/>
  <c r="M8" i="61"/>
  <c r="M9" i="61"/>
  <c r="M5" i="61"/>
  <c r="G116" i="61"/>
  <c r="G115" i="61"/>
  <c r="G114" i="61"/>
  <c r="G111" i="61"/>
  <c r="G112" i="61" s="1"/>
  <c r="H108" i="61"/>
  <c r="G108" i="61"/>
  <c r="F108" i="61"/>
  <c r="G107" i="61"/>
  <c r="H106" i="61"/>
  <c r="H109" i="61" s="1"/>
  <c r="G106" i="61"/>
  <c r="G109" i="61" s="1"/>
  <c r="F106" i="61"/>
  <c r="F109" i="61" s="1"/>
  <c r="G102" i="61"/>
  <c r="G101" i="61"/>
  <c r="G104" i="61" s="1"/>
  <c r="G98" i="61"/>
  <c r="G97" i="61"/>
  <c r="G96" i="61"/>
  <c r="G95" i="61"/>
  <c r="G94" i="61"/>
  <c r="G93" i="61"/>
  <c r="K87" i="61"/>
  <c r="J86" i="61"/>
  <c r="L86" i="61" s="1"/>
  <c r="K84" i="61"/>
  <c r="L84" i="61" s="1"/>
  <c r="J83" i="61"/>
  <c r="L83" i="61" s="1"/>
  <c r="J82" i="61"/>
  <c r="L82" i="61" s="1"/>
  <c r="K80" i="61"/>
  <c r="J71" i="61"/>
  <c r="L71" i="61" s="1"/>
  <c r="J70" i="61"/>
  <c r="L70" i="61" s="1"/>
  <c r="D67" i="61"/>
  <c r="K64" i="61"/>
  <c r="L62" i="61"/>
  <c r="D59" i="61"/>
  <c r="D53" i="61"/>
  <c r="O31" i="61"/>
  <c r="N31" i="61"/>
  <c r="L31" i="61"/>
  <c r="K31" i="61"/>
  <c r="J31" i="61"/>
  <c r="G31" i="61"/>
  <c r="F31" i="61"/>
  <c r="H30" i="61"/>
  <c r="I30" i="61" s="1"/>
  <c r="H29" i="61"/>
  <c r="I29" i="61" s="1"/>
  <c r="H28" i="61"/>
  <c r="F107" i="61" s="1"/>
  <c r="H27" i="61"/>
  <c r="I27" i="61" s="1"/>
  <c r="O26" i="61"/>
  <c r="N26" i="61"/>
  <c r="L26" i="61"/>
  <c r="K26" i="61"/>
  <c r="J26" i="61"/>
  <c r="G26" i="61"/>
  <c r="F26" i="61"/>
  <c r="H25" i="61"/>
  <c r="F115" i="61" s="1"/>
  <c r="I24" i="61"/>
  <c r="H114" i="61" s="1"/>
  <c r="H24" i="61"/>
  <c r="F114" i="61" s="1"/>
  <c r="O23" i="61"/>
  <c r="N23" i="61"/>
  <c r="L23" i="61"/>
  <c r="K23" i="61"/>
  <c r="J23" i="61"/>
  <c r="G23" i="61"/>
  <c r="F23" i="61"/>
  <c r="H22" i="61"/>
  <c r="I22" i="61" s="1"/>
  <c r="H21" i="61"/>
  <c r="F111" i="61" s="1"/>
  <c r="F112" i="61" s="1"/>
  <c r="O20" i="61"/>
  <c r="N20" i="61"/>
  <c r="L20" i="61"/>
  <c r="K20" i="61"/>
  <c r="J20" i="61"/>
  <c r="G20" i="61"/>
  <c r="F20" i="61"/>
  <c r="H19" i="61"/>
  <c r="H20" i="61" s="1"/>
  <c r="O18" i="61"/>
  <c r="N18" i="61"/>
  <c r="L18" i="61"/>
  <c r="K18" i="61"/>
  <c r="J18" i="61"/>
  <c r="G18" i="61"/>
  <c r="F18" i="61"/>
  <c r="H17" i="61"/>
  <c r="I17" i="61" s="1"/>
  <c r="H16" i="61"/>
  <c r="I16" i="61" s="1"/>
  <c r="H15" i="61"/>
  <c r="I15" i="61" s="1"/>
  <c r="H13" i="61"/>
  <c r="I13" i="61" s="1"/>
  <c r="H102" i="61" s="1"/>
  <c r="H12" i="61"/>
  <c r="F101" i="61" s="1"/>
  <c r="O11" i="61"/>
  <c r="N11" i="61"/>
  <c r="L11" i="61"/>
  <c r="K11" i="61"/>
  <c r="J11" i="61"/>
  <c r="G11" i="61"/>
  <c r="F11" i="61"/>
  <c r="H10" i="61"/>
  <c r="F98" i="61" s="1"/>
  <c r="H9" i="61"/>
  <c r="F97" i="61" s="1"/>
  <c r="H8" i="61"/>
  <c r="F96" i="61" s="1"/>
  <c r="H7" i="61"/>
  <c r="F95" i="61" s="1"/>
  <c r="H6" i="61"/>
  <c r="F94" i="61" s="1"/>
  <c r="H5" i="61"/>
  <c r="F93" i="61" s="1"/>
  <c r="L53" i="65" l="1"/>
  <c r="M9" i="66"/>
  <c r="L73" i="65"/>
  <c r="J75" i="65"/>
  <c r="L75" i="65" s="1"/>
  <c r="L55" i="64"/>
  <c r="M7" i="65"/>
  <c r="J51" i="65" s="1"/>
  <c r="L51" i="65" s="1"/>
  <c r="L81" i="64"/>
  <c r="M23" i="65"/>
  <c r="J77" i="65" s="1"/>
  <c r="L72" i="64"/>
  <c r="J66" i="65"/>
  <c r="L66" i="65" s="1"/>
  <c r="L56" i="64"/>
  <c r="M8" i="65"/>
  <c r="J52" i="65" s="1"/>
  <c r="L52" i="65" s="1"/>
  <c r="L62" i="63"/>
  <c r="L58" i="63"/>
  <c r="J68" i="61"/>
  <c r="L68" i="61" s="1"/>
  <c r="J78" i="61"/>
  <c r="I5" i="61"/>
  <c r="H93" i="61" s="1"/>
  <c r="J75" i="61"/>
  <c r="J61" i="61"/>
  <c r="L61" i="61" s="1"/>
  <c r="I7" i="61"/>
  <c r="H95" i="61" s="1"/>
  <c r="I21" i="61"/>
  <c r="I23" i="61" s="1"/>
  <c r="F116" i="61"/>
  <c r="J50" i="61"/>
  <c r="L50" i="61" s="1"/>
  <c r="I9" i="61"/>
  <c r="H97" i="61" s="1"/>
  <c r="G35" i="61"/>
  <c r="K32" i="61"/>
  <c r="N32" i="61"/>
  <c r="G99" i="61"/>
  <c r="O32" i="61"/>
  <c r="L32" i="61"/>
  <c r="G37" i="61"/>
  <c r="G34" i="61"/>
  <c r="J32" i="61"/>
  <c r="G33" i="61"/>
  <c r="H31" i="61"/>
  <c r="J69" i="61"/>
  <c r="L69" i="61" s="1"/>
  <c r="I12" i="61"/>
  <c r="H101" i="61" s="1"/>
  <c r="H104" i="61" s="1"/>
  <c r="G32" i="61"/>
  <c r="J54" i="61"/>
  <c r="L54" i="61" s="1"/>
  <c r="J52" i="61"/>
  <c r="L52" i="61" s="1"/>
  <c r="F32" i="61"/>
  <c r="F99" i="61"/>
  <c r="L78" i="61"/>
  <c r="G117" i="61"/>
  <c r="H18" i="61"/>
  <c r="G36" i="61"/>
  <c r="I6" i="61"/>
  <c r="H94" i="61" s="1"/>
  <c r="I10" i="61"/>
  <c r="H11" i="61"/>
  <c r="I19" i="61"/>
  <c r="I20" i="61" s="1"/>
  <c r="H23" i="61"/>
  <c r="I25" i="61"/>
  <c r="H115" i="61" s="1"/>
  <c r="H116" i="61" s="1"/>
  <c r="H26" i="61"/>
  <c r="I28" i="61"/>
  <c r="I31" i="61" s="1"/>
  <c r="I26" i="61"/>
  <c r="F102" i="61"/>
  <c r="F104" i="61" s="1"/>
  <c r="I8" i="61"/>
  <c r="H96" i="61" s="1"/>
  <c r="J72" i="60"/>
  <c r="J70" i="60"/>
  <c r="J69" i="60"/>
  <c r="J68" i="60"/>
  <c r="M11" i="66" l="1"/>
  <c r="J54" i="66"/>
  <c r="L77" i="65"/>
  <c r="M22" i="64"/>
  <c r="J66" i="64"/>
  <c r="J62" i="64"/>
  <c r="M12" i="65" s="1"/>
  <c r="L75" i="61"/>
  <c r="J74" i="61"/>
  <c r="L74" i="61" s="1"/>
  <c r="H111" i="61"/>
  <c r="H112" i="61" s="1"/>
  <c r="M23" i="61"/>
  <c r="I18" i="61"/>
  <c r="J76" i="61"/>
  <c r="L76" i="61" s="1"/>
  <c r="J59" i="61"/>
  <c r="L59" i="61" s="1"/>
  <c r="G38" i="61"/>
  <c r="D54" i="61" s="1"/>
  <c r="D55" i="61" s="1"/>
  <c r="D60" i="61" s="1"/>
  <c r="D68" i="61" s="1"/>
  <c r="D70" i="61" s="1"/>
  <c r="F117" i="61"/>
  <c r="H32" i="61"/>
  <c r="J63" i="61"/>
  <c r="J51" i="61"/>
  <c r="M7" i="62" s="1"/>
  <c r="H98" i="61"/>
  <c r="H99" i="61" s="1"/>
  <c r="H117" i="61" s="1"/>
  <c r="J67" i="61"/>
  <c r="I11" i="61"/>
  <c r="J53" i="61"/>
  <c r="L53" i="61" s="1"/>
  <c r="I13" i="60"/>
  <c r="H13" i="60"/>
  <c r="H15" i="60"/>
  <c r="I15" i="60" s="1"/>
  <c r="L54" i="66" l="1"/>
  <c r="M9" i="67"/>
  <c r="J56" i="66"/>
  <c r="J58" i="65"/>
  <c r="L66" i="64"/>
  <c r="M18" i="65"/>
  <c r="L62" i="64"/>
  <c r="M12" i="62"/>
  <c r="J56" i="62"/>
  <c r="L80" i="62"/>
  <c r="J81" i="62"/>
  <c r="I32" i="61"/>
  <c r="L63" i="61"/>
  <c r="L67" i="61"/>
  <c r="L51" i="61"/>
  <c r="M29" i="60"/>
  <c r="M30" i="60"/>
  <c r="M31" i="60"/>
  <c r="M28" i="60"/>
  <c r="M32" i="60" s="1"/>
  <c r="M25" i="60"/>
  <c r="M23" i="60"/>
  <c r="M22" i="60"/>
  <c r="M20" i="60"/>
  <c r="M16" i="60"/>
  <c r="M6" i="60"/>
  <c r="M11" i="60" s="1"/>
  <c r="M7" i="60"/>
  <c r="M8" i="60"/>
  <c r="M9" i="60"/>
  <c r="M10" i="60"/>
  <c r="M5" i="60"/>
  <c r="J11" i="60"/>
  <c r="G116" i="60"/>
  <c r="G117" i="60" s="1"/>
  <c r="G115" i="60"/>
  <c r="G112" i="60"/>
  <c r="G113" i="60" s="1"/>
  <c r="H109" i="60"/>
  <c r="G109" i="60"/>
  <c r="F109" i="60"/>
  <c r="G108" i="60"/>
  <c r="H107" i="60"/>
  <c r="H110" i="60" s="1"/>
  <c r="G107" i="60"/>
  <c r="G110" i="60" s="1"/>
  <c r="F107" i="60"/>
  <c r="F110" i="60" s="1"/>
  <c r="G103" i="60"/>
  <c r="G102" i="60"/>
  <c r="G105" i="60" s="1"/>
  <c r="G99" i="60"/>
  <c r="G98" i="60"/>
  <c r="G97" i="60"/>
  <c r="G96" i="60"/>
  <c r="G95" i="60"/>
  <c r="G94" i="60"/>
  <c r="K88" i="60"/>
  <c r="J87" i="60"/>
  <c r="L87" i="60" s="1"/>
  <c r="K85" i="60"/>
  <c r="L85" i="60" s="1"/>
  <c r="J84" i="60"/>
  <c r="L84" i="60" s="1"/>
  <c r="J83" i="60"/>
  <c r="L83" i="60" s="1"/>
  <c r="K81" i="60"/>
  <c r="L72" i="60"/>
  <c r="J71" i="60"/>
  <c r="L71" i="60" s="1"/>
  <c r="D68" i="60"/>
  <c r="K65" i="60"/>
  <c r="L63" i="60"/>
  <c r="D60" i="60"/>
  <c r="D54" i="60"/>
  <c r="O32" i="60"/>
  <c r="N32" i="60"/>
  <c r="L32" i="60"/>
  <c r="K32" i="60"/>
  <c r="J32" i="60"/>
  <c r="G32" i="60"/>
  <c r="F32" i="60"/>
  <c r="H31" i="60"/>
  <c r="I31" i="60" s="1"/>
  <c r="H30" i="60"/>
  <c r="I30" i="60" s="1"/>
  <c r="L69" i="60" s="1"/>
  <c r="H29" i="60"/>
  <c r="F108" i="60" s="1"/>
  <c r="H28" i="60"/>
  <c r="O27" i="60"/>
  <c r="N27" i="60"/>
  <c r="L27" i="60"/>
  <c r="K27" i="60"/>
  <c r="J27" i="60"/>
  <c r="G27" i="60"/>
  <c r="F27" i="60"/>
  <c r="H26" i="60"/>
  <c r="F116" i="60" s="1"/>
  <c r="H25" i="60"/>
  <c r="F115" i="60" s="1"/>
  <c r="O24" i="60"/>
  <c r="N24" i="60"/>
  <c r="L24" i="60"/>
  <c r="K24" i="60"/>
  <c r="J24" i="60"/>
  <c r="G24" i="60"/>
  <c r="F24" i="60"/>
  <c r="H23" i="60"/>
  <c r="I23" i="60" s="1"/>
  <c r="H22" i="60"/>
  <c r="F112" i="60" s="1"/>
  <c r="F113" i="60" s="1"/>
  <c r="O21" i="60"/>
  <c r="N21" i="60"/>
  <c r="L21" i="60"/>
  <c r="K21" i="60"/>
  <c r="J21" i="60"/>
  <c r="G21" i="60"/>
  <c r="F21" i="60"/>
  <c r="M21" i="60"/>
  <c r="H20" i="60"/>
  <c r="H21" i="60" s="1"/>
  <c r="O19" i="60"/>
  <c r="N19" i="60"/>
  <c r="L19" i="60"/>
  <c r="K19" i="60"/>
  <c r="J19" i="60"/>
  <c r="G19" i="60"/>
  <c r="F19" i="60"/>
  <c r="H18" i="60"/>
  <c r="I18" i="60" s="1"/>
  <c r="H17" i="60"/>
  <c r="I17" i="60" s="1"/>
  <c r="H16" i="60"/>
  <c r="I16" i="60" s="1"/>
  <c r="J62" i="60" s="1"/>
  <c r="L62" i="60" s="1"/>
  <c r="H14" i="60"/>
  <c r="H12" i="60"/>
  <c r="F102" i="60" s="1"/>
  <c r="O11" i="60"/>
  <c r="N11" i="60"/>
  <c r="L11" i="60"/>
  <c r="K11" i="60"/>
  <c r="G11" i="60"/>
  <c r="F11" i="60"/>
  <c r="H10" i="60"/>
  <c r="I10" i="60" s="1"/>
  <c r="H99" i="60" s="1"/>
  <c r="H9" i="60"/>
  <c r="F98" i="60" s="1"/>
  <c r="H8" i="60"/>
  <c r="F97" i="60" s="1"/>
  <c r="H7" i="60"/>
  <c r="F96" i="60" s="1"/>
  <c r="H6" i="60"/>
  <c r="I6" i="60" s="1"/>
  <c r="H95" i="60" s="1"/>
  <c r="H5" i="60"/>
  <c r="I5" i="60" s="1"/>
  <c r="L56" i="66" l="1"/>
  <c r="M11" i="67"/>
  <c r="J56" i="67"/>
  <c r="M19" i="65"/>
  <c r="J62" i="65"/>
  <c r="L62" i="65" s="1"/>
  <c r="L58" i="65"/>
  <c r="L56" i="62"/>
  <c r="M6" i="63"/>
  <c r="J61" i="62"/>
  <c r="L61" i="62" s="1"/>
  <c r="L81" i="62"/>
  <c r="H32" i="60"/>
  <c r="J76" i="60"/>
  <c r="L76" i="60" s="1"/>
  <c r="H94" i="60"/>
  <c r="J51" i="60"/>
  <c r="L51" i="60" s="1"/>
  <c r="F117" i="60"/>
  <c r="L33" i="60"/>
  <c r="I22" i="60"/>
  <c r="J75" i="60" s="1"/>
  <c r="I25" i="60"/>
  <c r="I27" i="60" s="1"/>
  <c r="G37" i="60"/>
  <c r="G36" i="60"/>
  <c r="K33" i="60"/>
  <c r="N33" i="60"/>
  <c r="G100" i="60"/>
  <c r="G118" i="60" s="1"/>
  <c r="G38" i="60"/>
  <c r="G35" i="60"/>
  <c r="J56" i="60"/>
  <c r="J33" i="60"/>
  <c r="G34" i="60"/>
  <c r="G33" i="60"/>
  <c r="I28" i="60"/>
  <c r="H19" i="60"/>
  <c r="I12" i="60"/>
  <c r="H102" i="60" s="1"/>
  <c r="I9" i="60"/>
  <c r="H98" i="60" s="1"/>
  <c r="I7" i="60"/>
  <c r="H96" i="60" s="1"/>
  <c r="H11" i="60"/>
  <c r="F33" i="60"/>
  <c r="I24" i="60"/>
  <c r="L75" i="60"/>
  <c r="I8" i="60"/>
  <c r="H97" i="60" s="1"/>
  <c r="I20" i="60"/>
  <c r="I21" i="60" s="1"/>
  <c r="H24" i="60"/>
  <c r="M24" i="60" s="1"/>
  <c r="I26" i="60"/>
  <c r="H116" i="60" s="1"/>
  <c r="H27" i="60"/>
  <c r="I29" i="60"/>
  <c r="J52" i="60"/>
  <c r="L52" i="60" s="1"/>
  <c r="J64" i="60"/>
  <c r="L64" i="60" s="1"/>
  <c r="F95" i="60"/>
  <c r="F99" i="60"/>
  <c r="H112" i="60"/>
  <c r="H113" i="60" s="1"/>
  <c r="L70" i="60"/>
  <c r="F94" i="60"/>
  <c r="F103" i="60"/>
  <c r="F105" i="60" s="1"/>
  <c r="I14" i="60"/>
  <c r="H103" i="60" s="1"/>
  <c r="O33" i="60"/>
  <c r="I14" i="59"/>
  <c r="H14" i="59"/>
  <c r="L56" i="67" l="1"/>
  <c r="J58" i="67"/>
  <c r="L67" i="60"/>
  <c r="J67" i="60"/>
  <c r="M27" i="61" s="1"/>
  <c r="J54" i="64"/>
  <c r="M6" i="65" s="1"/>
  <c r="M11" i="64"/>
  <c r="J50" i="63"/>
  <c r="M11" i="63"/>
  <c r="L56" i="60"/>
  <c r="M10" i="61"/>
  <c r="J77" i="60"/>
  <c r="L77" i="60" s="1"/>
  <c r="I32" i="60"/>
  <c r="H100" i="60"/>
  <c r="H115" i="60"/>
  <c r="H117" i="60" s="1"/>
  <c r="J79" i="60"/>
  <c r="L79" i="60" s="1"/>
  <c r="G39" i="60"/>
  <c r="D55" i="60" s="1"/>
  <c r="D56" i="60" s="1"/>
  <c r="D61" i="60" s="1"/>
  <c r="D69" i="60" s="1"/>
  <c r="D71" i="60" s="1"/>
  <c r="J53" i="60"/>
  <c r="L53" i="60" s="1"/>
  <c r="I19" i="60"/>
  <c r="H105" i="60"/>
  <c r="H33" i="60"/>
  <c r="J55" i="60"/>
  <c r="L55" i="60" s="1"/>
  <c r="I11" i="60"/>
  <c r="F100" i="60"/>
  <c r="F118" i="60" s="1"/>
  <c r="J54" i="60"/>
  <c r="L54" i="60" s="1"/>
  <c r="M28" i="59"/>
  <c r="M29" i="59"/>
  <c r="M30" i="59"/>
  <c r="M27" i="59"/>
  <c r="M24" i="59"/>
  <c r="M22" i="59"/>
  <c r="M21" i="59"/>
  <c r="M19" i="59"/>
  <c r="M20" i="59" s="1"/>
  <c r="M15" i="59"/>
  <c r="M12" i="59"/>
  <c r="M6" i="59"/>
  <c r="M7" i="59"/>
  <c r="M8" i="59"/>
  <c r="M9" i="59"/>
  <c r="M11" i="59" s="1"/>
  <c r="M10" i="59"/>
  <c r="M5" i="59"/>
  <c r="G115" i="59"/>
  <c r="G114" i="59"/>
  <c r="G116" i="59" s="1"/>
  <c r="G111" i="59"/>
  <c r="G112" i="59" s="1"/>
  <c r="H108" i="59"/>
  <c r="G108" i="59"/>
  <c r="F108" i="59"/>
  <c r="G107" i="59"/>
  <c r="H106" i="59"/>
  <c r="H109" i="59" s="1"/>
  <c r="G106" i="59"/>
  <c r="G109" i="59" s="1"/>
  <c r="F106" i="59"/>
  <c r="F109" i="59" s="1"/>
  <c r="G102" i="59"/>
  <c r="G101" i="59"/>
  <c r="G104" i="59" s="1"/>
  <c r="G98" i="59"/>
  <c r="G97" i="59"/>
  <c r="G96" i="59"/>
  <c r="G95" i="59"/>
  <c r="G94" i="59"/>
  <c r="G93" i="59"/>
  <c r="G99" i="59" s="1"/>
  <c r="K87" i="59"/>
  <c r="J86" i="59"/>
  <c r="L86" i="59" s="1"/>
  <c r="K84" i="59"/>
  <c r="L84" i="59" s="1"/>
  <c r="J83" i="59"/>
  <c r="L83" i="59" s="1"/>
  <c r="J82" i="59"/>
  <c r="L82" i="59" s="1"/>
  <c r="K80" i="59"/>
  <c r="J71" i="59"/>
  <c r="L71" i="59" s="1"/>
  <c r="J70" i="59"/>
  <c r="L70" i="59" s="1"/>
  <c r="D67" i="59"/>
  <c r="K64" i="59"/>
  <c r="L62" i="59"/>
  <c r="D59" i="59"/>
  <c r="D53" i="59"/>
  <c r="O31" i="59"/>
  <c r="N31" i="59"/>
  <c r="L31" i="59"/>
  <c r="K31" i="59"/>
  <c r="J31" i="59"/>
  <c r="G31" i="59"/>
  <c r="F31" i="59"/>
  <c r="H30" i="59"/>
  <c r="I30" i="59" s="1"/>
  <c r="H29" i="59"/>
  <c r="I29" i="59" s="1"/>
  <c r="J68" i="59" s="1"/>
  <c r="L68" i="59" s="1"/>
  <c r="H28" i="59"/>
  <c r="F107" i="59" s="1"/>
  <c r="M31" i="59"/>
  <c r="H27" i="59"/>
  <c r="O26" i="59"/>
  <c r="N26" i="59"/>
  <c r="L26" i="59"/>
  <c r="K26" i="59"/>
  <c r="J26" i="59"/>
  <c r="G26" i="59"/>
  <c r="F26" i="59"/>
  <c r="H25" i="59"/>
  <c r="F115" i="59" s="1"/>
  <c r="H24" i="59"/>
  <c r="F114" i="59" s="1"/>
  <c r="F116" i="59" s="1"/>
  <c r="O23" i="59"/>
  <c r="N23" i="59"/>
  <c r="L23" i="59"/>
  <c r="K23" i="59"/>
  <c r="J23" i="59"/>
  <c r="G23" i="59"/>
  <c r="F23" i="59"/>
  <c r="H22" i="59"/>
  <c r="I22" i="59" s="1"/>
  <c r="H21" i="59"/>
  <c r="F111" i="59" s="1"/>
  <c r="F112" i="59" s="1"/>
  <c r="O20" i="59"/>
  <c r="N20" i="59"/>
  <c r="L20" i="59"/>
  <c r="K20" i="59"/>
  <c r="J20" i="59"/>
  <c r="G20" i="59"/>
  <c r="F20" i="59"/>
  <c r="H19" i="59"/>
  <c r="H20" i="59" s="1"/>
  <c r="O18" i="59"/>
  <c r="N18" i="59"/>
  <c r="L18" i="59"/>
  <c r="K18" i="59"/>
  <c r="J18" i="59"/>
  <c r="G18" i="59"/>
  <c r="F18" i="59"/>
  <c r="H17" i="59"/>
  <c r="I17" i="59" s="1"/>
  <c r="H16" i="59"/>
  <c r="I16" i="59" s="1"/>
  <c r="H15" i="59"/>
  <c r="I15" i="59" s="1"/>
  <c r="H13" i="59"/>
  <c r="I13" i="59" s="1"/>
  <c r="H102" i="59" s="1"/>
  <c r="H12" i="59"/>
  <c r="O11" i="59"/>
  <c r="N11" i="59"/>
  <c r="L11" i="59"/>
  <c r="K11" i="59"/>
  <c r="J11" i="59"/>
  <c r="G11" i="59"/>
  <c r="F11" i="59"/>
  <c r="H10" i="59"/>
  <c r="I10" i="59" s="1"/>
  <c r="H98" i="59" s="1"/>
  <c r="H9" i="59"/>
  <c r="I9" i="59" s="1"/>
  <c r="H97" i="59" s="1"/>
  <c r="H8" i="59"/>
  <c r="F96" i="59" s="1"/>
  <c r="H7" i="59"/>
  <c r="F95" i="59" s="1"/>
  <c r="H6" i="59"/>
  <c r="I6" i="59" s="1"/>
  <c r="H94" i="59" s="1"/>
  <c r="H5" i="59"/>
  <c r="I5" i="59" s="1"/>
  <c r="L58" i="67" l="1"/>
  <c r="J50" i="65"/>
  <c r="M11" i="65"/>
  <c r="J66" i="61"/>
  <c r="M31" i="61"/>
  <c r="L54" i="64"/>
  <c r="J59" i="64"/>
  <c r="L59" i="64" s="1"/>
  <c r="L50" i="63"/>
  <c r="J55" i="63"/>
  <c r="M11" i="61"/>
  <c r="J55" i="61"/>
  <c r="I33" i="60"/>
  <c r="H118" i="60"/>
  <c r="J57" i="60"/>
  <c r="L57" i="60" s="1"/>
  <c r="L68" i="60"/>
  <c r="J73" i="60"/>
  <c r="L73" i="60" s="1"/>
  <c r="I21" i="59"/>
  <c r="J74" i="59" s="1"/>
  <c r="L74" i="59" s="1"/>
  <c r="G35" i="59"/>
  <c r="N32" i="59"/>
  <c r="I24" i="59"/>
  <c r="K32" i="59"/>
  <c r="G36" i="59"/>
  <c r="L32" i="59"/>
  <c r="O32" i="59"/>
  <c r="G34" i="59"/>
  <c r="G33" i="59"/>
  <c r="J32" i="59"/>
  <c r="G32" i="59"/>
  <c r="H31" i="59"/>
  <c r="I27" i="59"/>
  <c r="J66" i="59" s="1"/>
  <c r="H18" i="59"/>
  <c r="J55" i="59"/>
  <c r="L55" i="59" s="1"/>
  <c r="J54" i="59"/>
  <c r="L54" i="59" s="1"/>
  <c r="I7" i="59"/>
  <c r="H95" i="59" s="1"/>
  <c r="F32" i="59"/>
  <c r="H93" i="59"/>
  <c r="G117" i="59"/>
  <c r="J51" i="59"/>
  <c r="L51" i="59" s="1"/>
  <c r="J61" i="59"/>
  <c r="L61" i="59" s="1"/>
  <c r="I23" i="59"/>
  <c r="J69" i="59"/>
  <c r="L69" i="59" s="1"/>
  <c r="I8" i="59"/>
  <c r="H96" i="59" s="1"/>
  <c r="I19" i="59"/>
  <c r="I20" i="59" s="1"/>
  <c r="H23" i="59"/>
  <c r="M23" i="59" s="1"/>
  <c r="I25" i="59"/>
  <c r="H115" i="59" s="1"/>
  <c r="H26" i="59"/>
  <c r="I28" i="59"/>
  <c r="J67" i="59" s="1"/>
  <c r="L67" i="59" s="1"/>
  <c r="G37" i="59"/>
  <c r="J75" i="59"/>
  <c r="L75" i="59" s="1"/>
  <c r="F94" i="59"/>
  <c r="F98" i="59"/>
  <c r="H111" i="59"/>
  <c r="H112" i="59" s="1"/>
  <c r="I26" i="59"/>
  <c r="F93" i="59"/>
  <c r="F97" i="59"/>
  <c r="F102" i="59"/>
  <c r="H11" i="59"/>
  <c r="J50" i="59"/>
  <c r="F101" i="59"/>
  <c r="I12" i="59"/>
  <c r="L50" i="65" l="1"/>
  <c r="J55" i="65"/>
  <c r="L55" i="65" s="1"/>
  <c r="L66" i="61"/>
  <c r="M30" i="62"/>
  <c r="J72" i="61"/>
  <c r="L72" i="61" s="1"/>
  <c r="L55" i="63"/>
  <c r="L55" i="61"/>
  <c r="J56" i="61"/>
  <c r="G38" i="59"/>
  <c r="D54" i="59" s="1"/>
  <c r="D55" i="59" s="1"/>
  <c r="D60" i="59" s="1"/>
  <c r="D68" i="59" s="1"/>
  <c r="D70" i="59" s="1"/>
  <c r="J52" i="59"/>
  <c r="L52" i="59" s="1"/>
  <c r="H114" i="59"/>
  <c r="H116" i="59" s="1"/>
  <c r="J78" i="59"/>
  <c r="L78" i="59" s="1"/>
  <c r="I31" i="59"/>
  <c r="F104" i="59"/>
  <c r="H32" i="59"/>
  <c r="L50" i="59"/>
  <c r="F99" i="59"/>
  <c r="J63" i="59"/>
  <c r="L63" i="59" s="1"/>
  <c r="J53" i="59"/>
  <c r="L53" i="59" s="1"/>
  <c r="H101" i="59"/>
  <c r="H104" i="59" s="1"/>
  <c r="I18" i="59"/>
  <c r="I11" i="59"/>
  <c r="L66" i="59"/>
  <c r="J72" i="59"/>
  <c r="L72" i="59" s="1"/>
  <c r="J59" i="59"/>
  <c r="M12" i="60" s="1"/>
  <c r="J76" i="59"/>
  <c r="L76" i="59" s="1"/>
  <c r="H99" i="59"/>
  <c r="I14" i="58"/>
  <c r="H14" i="58"/>
  <c r="M36" i="62" l="1"/>
  <c r="J71" i="62"/>
  <c r="L56" i="61"/>
  <c r="J60" i="60"/>
  <c r="F117" i="59"/>
  <c r="H117" i="59"/>
  <c r="I32" i="59"/>
  <c r="L59" i="59"/>
  <c r="J56" i="59"/>
  <c r="L56" i="59" s="1"/>
  <c r="M28" i="58"/>
  <c r="M29" i="58"/>
  <c r="M30" i="58"/>
  <c r="M27" i="58"/>
  <c r="M24" i="58"/>
  <c r="M22" i="58"/>
  <c r="M21" i="58"/>
  <c r="M19" i="58"/>
  <c r="M15" i="58"/>
  <c r="M12" i="58"/>
  <c r="M6" i="58"/>
  <c r="M7" i="58"/>
  <c r="M8" i="58"/>
  <c r="M9" i="58"/>
  <c r="M10" i="58"/>
  <c r="M5" i="58"/>
  <c r="F31" i="58"/>
  <c r="G115" i="58"/>
  <c r="G114" i="58"/>
  <c r="G111" i="58"/>
  <c r="G112" i="58" s="1"/>
  <c r="H108" i="58"/>
  <c r="G108" i="58"/>
  <c r="F108" i="58"/>
  <c r="G107" i="58"/>
  <c r="H106" i="58"/>
  <c r="H109" i="58" s="1"/>
  <c r="G106" i="58"/>
  <c r="G109" i="58" s="1"/>
  <c r="F106" i="58"/>
  <c r="F109" i="58" s="1"/>
  <c r="G102" i="58"/>
  <c r="G101" i="58"/>
  <c r="G98" i="58"/>
  <c r="G97" i="58"/>
  <c r="G96" i="58"/>
  <c r="G95" i="58"/>
  <c r="G94" i="58"/>
  <c r="G93" i="58"/>
  <c r="K87" i="58"/>
  <c r="J86" i="58"/>
  <c r="L86" i="58" s="1"/>
  <c r="K84" i="58"/>
  <c r="L84" i="58" s="1"/>
  <c r="J83" i="58"/>
  <c r="L83" i="58" s="1"/>
  <c r="J82" i="58"/>
  <c r="L82" i="58" s="1"/>
  <c r="K80" i="58"/>
  <c r="J71" i="58"/>
  <c r="L71" i="58" s="1"/>
  <c r="L70" i="58"/>
  <c r="J70" i="58"/>
  <c r="D67" i="58"/>
  <c r="K64" i="58"/>
  <c r="L62" i="58"/>
  <c r="D59" i="58"/>
  <c r="D53" i="58"/>
  <c r="O31" i="58"/>
  <c r="N31" i="58"/>
  <c r="L31" i="58"/>
  <c r="K31" i="58"/>
  <c r="J31" i="58"/>
  <c r="G31" i="58"/>
  <c r="H30" i="58"/>
  <c r="I30" i="58" s="1"/>
  <c r="H29" i="58"/>
  <c r="I29" i="58" s="1"/>
  <c r="J68" i="58" s="1"/>
  <c r="L68" i="58" s="1"/>
  <c r="M31" i="58"/>
  <c r="H28" i="58"/>
  <c r="F107" i="58" s="1"/>
  <c r="H27" i="58"/>
  <c r="O26" i="58"/>
  <c r="N26" i="58"/>
  <c r="L26" i="58"/>
  <c r="K26" i="58"/>
  <c r="J26" i="58"/>
  <c r="G26" i="58"/>
  <c r="F26" i="58"/>
  <c r="H25" i="58"/>
  <c r="F115" i="58" s="1"/>
  <c r="H24" i="58"/>
  <c r="F114" i="58" s="1"/>
  <c r="O23" i="58"/>
  <c r="N23" i="58"/>
  <c r="L23" i="58"/>
  <c r="K23" i="58"/>
  <c r="J23" i="58"/>
  <c r="G23" i="58"/>
  <c r="F23" i="58"/>
  <c r="H22" i="58"/>
  <c r="I22" i="58" s="1"/>
  <c r="H21" i="58"/>
  <c r="F111" i="58" s="1"/>
  <c r="F112" i="58" s="1"/>
  <c r="O20" i="58"/>
  <c r="N20" i="58"/>
  <c r="L20" i="58"/>
  <c r="K20" i="58"/>
  <c r="J20" i="58"/>
  <c r="G20" i="58"/>
  <c r="F20" i="58"/>
  <c r="M20" i="58"/>
  <c r="H19" i="58"/>
  <c r="H20" i="58" s="1"/>
  <c r="O18" i="58"/>
  <c r="N18" i="58"/>
  <c r="L18" i="58"/>
  <c r="K18" i="58"/>
  <c r="J18" i="58"/>
  <c r="G18" i="58"/>
  <c r="F18" i="58"/>
  <c r="H17" i="58"/>
  <c r="I17" i="58" s="1"/>
  <c r="H16" i="58"/>
  <c r="I16" i="58" s="1"/>
  <c r="H15" i="58"/>
  <c r="I15" i="58" s="1"/>
  <c r="J61" i="58" s="1"/>
  <c r="L61" i="58" s="1"/>
  <c r="H13" i="58"/>
  <c r="I13" i="58" s="1"/>
  <c r="H12" i="58"/>
  <c r="O11" i="58"/>
  <c r="N11" i="58"/>
  <c r="L11" i="58"/>
  <c r="K11" i="58"/>
  <c r="J11" i="58"/>
  <c r="G11" i="58"/>
  <c r="F11" i="58"/>
  <c r="H10" i="58"/>
  <c r="F98" i="58" s="1"/>
  <c r="H9" i="58"/>
  <c r="F97" i="58" s="1"/>
  <c r="H8" i="58"/>
  <c r="F96" i="58" s="1"/>
  <c r="H7" i="58"/>
  <c r="F95" i="58" s="1"/>
  <c r="H6" i="58"/>
  <c r="I6" i="58" s="1"/>
  <c r="H94" i="58" s="1"/>
  <c r="H5" i="58"/>
  <c r="F93" i="58" s="1"/>
  <c r="M26" i="63" l="1"/>
  <c r="L71" i="62"/>
  <c r="J77" i="62"/>
  <c r="L77" i="62" s="1"/>
  <c r="G116" i="58"/>
  <c r="L60" i="60"/>
  <c r="H102" i="58"/>
  <c r="I21" i="58"/>
  <c r="J74" i="58" s="1"/>
  <c r="L74" i="58" s="1"/>
  <c r="I7" i="58"/>
  <c r="H95" i="58" s="1"/>
  <c r="G35" i="58"/>
  <c r="K32" i="58"/>
  <c r="H31" i="58"/>
  <c r="I24" i="58"/>
  <c r="H114" i="58" s="1"/>
  <c r="G36" i="58"/>
  <c r="N32" i="58"/>
  <c r="G99" i="58"/>
  <c r="G104" i="58"/>
  <c r="G117" i="58" s="1"/>
  <c r="L32" i="58"/>
  <c r="G37" i="58"/>
  <c r="G34" i="58"/>
  <c r="J32" i="58"/>
  <c r="G33" i="58"/>
  <c r="G32" i="58"/>
  <c r="H18" i="58"/>
  <c r="I12" i="58"/>
  <c r="I9" i="58"/>
  <c r="H97" i="58" s="1"/>
  <c r="J51" i="58"/>
  <c r="L51" i="58" s="1"/>
  <c r="F32" i="58"/>
  <c r="J75" i="58"/>
  <c r="L75" i="58" s="1"/>
  <c r="F116" i="58"/>
  <c r="J69" i="58"/>
  <c r="L69" i="58" s="1"/>
  <c r="I23" i="58"/>
  <c r="I5" i="58"/>
  <c r="I8" i="58"/>
  <c r="I10" i="58"/>
  <c r="H98" i="58" s="1"/>
  <c r="H11" i="58"/>
  <c r="I19" i="58"/>
  <c r="I20" i="58" s="1"/>
  <c r="H23" i="58"/>
  <c r="I25" i="58"/>
  <c r="H115" i="58" s="1"/>
  <c r="H26" i="58"/>
  <c r="I28" i="58"/>
  <c r="J63" i="58"/>
  <c r="L63" i="58" s="1"/>
  <c r="J67" i="58"/>
  <c r="L67" i="58" s="1"/>
  <c r="J78" i="58"/>
  <c r="F94" i="58"/>
  <c r="F99" i="58" s="1"/>
  <c r="M11" i="58"/>
  <c r="M23" i="58"/>
  <c r="I27" i="58"/>
  <c r="I31" i="58" s="1"/>
  <c r="F102" i="58"/>
  <c r="F101" i="58"/>
  <c r="O32" i="58"/>
  <c r="J55" i="57"/>
  <c r="J65" i="63" l="1"/>
  <c r="M30" i="63"/>
  <c r="H111" i="58"/>
  <c r="H112" i="58" s="1"/>
  <c r="H116" i="58"/>
  <c r="H96" i="58"/>
  <c r="J53" i="58"/>
  <c r="L53" i="58" s="1"/>
  <c r="J52" i="58"/>
  <c r="L52" i="58" s="1"/>
  <c r="H101" i="58"/>
  <c r="H104" i="58" s="1"/>
  <c r="J59" i="58"/>
  <c r="L59" i="58" s="1"/>
  <c r="I26" i="58"/>
  <c r="J76" i="58"/>
  <c r="L76" i="58" s="1"/>
  <c r="G38" i="58"/>
  <c r="D54" i="58" s="1"/>
  <c r="D55" i="58" s="1"/>
  <c r="D60" i="58" s="1"/>
  <c r="D68" i="58" s="1"/>
  <c r="D70" i="58" s="1"/>
  <c r="F104" i="58"/>
  <c r="F117" i="58" s="1"/>
  <c r="I18" i="58"/>
  <c r="J54" i="58"/>
  <c r="L54" i="58" s="1"/>
  <c r="H32" i="58"/>
  <c r="L78" i="58"/>
  <c r="H93" i="58"/>
  <c r="H99" i="58" s="1"/>
  <c r="H117" i="58" s="1"/>
  <c r="I11" i="58"/>
  <c r="J50" i="58"/>
  <c r="J66" i="58"/>
  <c r="J55" i="58"/>
  <c r="L55" i="58" s="1"/>
  <c r="J68" i="57"/>
  <c r="H30" i="57"/>
  <c r="I30" i="57" s="1"/>
  <c r="H31" i="57"/>
  <c r="H32" i="57"/>
  <c r="I31" i="57"/>
  <c r="I32" i="57"/>
  <c r="M29" i="57"/>
  <c r="M29" i="64" l="1"/>
  <c r="J71" i="63"/>
  <c r="L71" i="63" s="1"/>
  <c r="L65" i="63"/>
  <c r="I32" i="58"/>
  <c r="L66" i="58"/>
  <c r="J72" i="58"/>
  <c r="L72" i="58" s="1"/>
  <c r="L50" i="58"/>
  <c r="J56" i="58"/>
  <c r="L56" i="58" s="1"/>
  <c r="J61" i="57"/>
  <c r="J52" i="57"/>
  <c r="M34" i="64" l="1"/>
  <c r="J69" i="64"/>
  <c r="M26" i="65" s="1"/>
  <c r="I9" i="57"/>
  <c r="H9" i="57"/>
  <c r="I16" i="57"/>
  <c r="H16" i="57"/>
  <c r="H14" i="57"/>
  <c r="I14" i="57" s="1"/>
  <c r="J65" i="65" l="1"/>
  <c r="M30" i="65"/>
  <c r="J75" i="64"/>
  <c r="L75" i="64" s="1"/>
  <c r="L69" i="64"/>
  <c r="M30" i="57"/>
  <c r="M31" i="57"/>
  <c r="M32" i="57"/>
  <c r="M26" i="57"/>
  <c r="M24" i="57"/>
  <c r="M23" i="57"/>
  <c r="M21" i="57"/>
  <c r="M17" i="57"/>
  <c r="M13" i="57"/>
  <c r="M6" i="57"/>
  <c r="M7" i="57"/>
  <c r="M8" i="57"/>
  <c r="M10" i="57"/>
  <c r="M11" i="57"/>
  <c r="M5" i="57"/>
  <c r="G117" i="57"/>
  <c r="G116" i="57"/>
  <c r="G118" i="57" s="1"/>
  <c r="G114" i="57"/>
  <c r="G113" i="57"/>
  <c r="H110" i="57"/>
  <c r="G110" i="57"/>
  <c r="F110" i="57"/>
  <c r="G109" i="57"/>
  <c r="G108" i="57"/>
  <c r="G111" i="57" s="1"/>
  <c r="G104" i="57"/>
  <c r="G106" i="57" s="1"/>
  <c r="G103" i="57"/>
  <c r="G100" i="57"/>
  <c r="G99" i="57"/>
  <c r="G98" i="57"/>
  <c r="G97" i="57"/>
  <c r="G96" i="57"/>
  <c r="G95" i="57"/>
  <c r="K89" i="57"/>
  <c r="J88" i="57"/>
  <c r="L88" i="57" s="1"/>
  <c r="K86" i="57"/>
  <c r="L86" i="57" s="1"/>
  <c r="J85" i="57"/>
  <c r="L85" i="57" s="1"/>
  <c r="J84" i="57"/>
  <c r="L84" i="57" s="1"/>
  <c r="K82" i="57"/>
  <c r="J73" i="57"/>
  <c r="L73" i="57" s="1"/>
  <c r="J72" i="57"/>
  <c r="L72" i="57" s="1"/>
  <c r="D69" i="57"/>
  <c r="K66" i="57"/>
  <c r="L64" i="57"/>
  <c r="D61" i="57"/>
  <c r="D55" i="57"/>
  <c r="O33" i="57"/>
  <c r="N33" i="57"/>
  <c r="L33" i="57"/>
  <c r="K33" i="57"/>
  <c r="J33" i="57"/>
  <c r="G33" i="57"/>
  <c r="F33" i="57"/>
  <c r="J70" i="57"/>
  <c r="L70" i="57" s="1"/>
  <c r="F109" i="57"/>
  <c r="H29" i="57"/>
  <c r="I29" i="57" s="1"/>
  <c r="F108" i="57"/>
  <c r="O28" i="57"/>
  <c r="N28" i="57"/>
  <c r="L28" i="57"/>
  <c r="K28" i="57"/>
  <c r="J28" i="57"/>
  <c r="G28" i="57"/>
  <c r="F28" i="57"/>
  <c r="H27" i="57"/>
  <c r="F117" i="57" s="1"/>
  <c r="H26" i="57"/>
  <c r="O25" i="57"/>
  <c r="N25" i="57"/>
  <c r="L25" i="57"/>
  <c r="K25" i="57"/>
  <c r="J25" i="57"/>
  <c r="G25" i="57"/>
  <c r="F25" i="57"/>
  <c r="H24" i="57"/>
  <c r="I24" i="57" s="1"/>
  <c r="H23" i="57"/>
  <c r="F113" i="57" s="1"/>
  <c r="F114" i="57" s="1"/>
  <c r="O22" i="57"/>
  <c r="N22" i="57"/>
  <c r="L22" i="57"/>
  <c r="K22" i="57"/>
  <c r="J22" i="57"/>
  <c r="G22" i="57"/>
  <c r="F22" i="57"/>
  <c r="M22" i="57"/>
  <c r="H21" i="57"/>
  <c r="H22" i="57" s="1"/>
  <c r="O20" i="57"/>
  <c r="N20" i="57"/>
  <c r="L20" i="57"/>
  <c r="K20" i="57"/>
  <c r="J20" i="57"/>
  <c r="G20" i="57"/>
  <c r="F20" i="57"/>
  <c r="H19" i="57"/>
  <c r="I19" i="57" s="1"/>
  <c r="H18" i="57"/>
  <c r="I18" i="57" s="1"/>
  <c r="H17" i="57"/>
  <c r="I17" i="57" s="1"/>
  <c r="H15" i="57"/>
  <c r="I15" i="57" s="1"/>
  <c r="H104" i="57" s="1"/>
  <c r="H13" i="57"/>
  <c r="F103" i="57" s="1"/>
  <c r="O12" i="57"/>
  <c r="N12" i="57"/>
  <c r="L12" i="57"/>
  <c r="K12" i="57"/>
  <c r="J12" i="57"/>
  <c r="G12" i="57"/>
  <c r="F12" i="57"/>
  <c r="H11" i="57"/>
  <c r="I11" i="57" s="1"/>
  <c r="H100" i="57" s="1"/>
  <c r="H10" i="57"/>
  <c r="F99" i="57" s="1"/>
  <c r="H8" i="57"/>
  <c r="F98" i="57" s="1"/>
  <c r="H7" i="57"/>
  <c r="F97" i="57" s="1"/>
  <c r="H6" i="57"/>
  <c r="I6" i="57" s="1"/>
  <c r="H96" i="57" s="1"/>
  <c r="H5" i="57"/>
  <c r="L65" i="65" l="1"/>
  <c r="J71" i="65"/>
  <c r="L71" i="65" s="1"/>
  <c r="J63" i="57"/>
  <c r="L63" i="57" s="1"/>
  <c r="M12" i="57"/>
  <c r="G101" i="57"/>
  <c r="M33" i="57"/>
  <c r="M25" i="57"/>
  <c r="J53" i="57"/>
  <c r="L53" i="57" s="1"/>
  <c r="H28" i="57"/>
  <c r="F111" i="57"/>
  <c r="I23" i="57"/>
  <c r="I26" i="57"/>
  <c r="J80" i="57" s="1"/>
  <c r="L80" i="57" s="1"/>
  <c r="N34" i="57"/>
  <c r="G37" i="57"/>
  <c r="G38" i="57"/>
  <c r="L34" i="57"/>
  <c r="K34" i="57"/>
  <c r="G39" i="57"/>
  <c r="G36" i="57"/>
  <c r="G35" i="57"/>
  <c r="J34" i="57"/>
  <c r="G34" i="57"/>
  <c r="J71" i="57"/>
  <c r="L71" i="57" s="1"/>
  <c r="L68" i="57"/>
  <c r="I13" i="57"/>
  <c r="I20" i="57" s="1"/>
  <c r="J57" i="57"/>
  <c r="L57" i="57" s="1"/>
  <c r="I10" i="57"/>
  <c r="H99" i="57" s="1"/>
  <c r="I7" i="57"/>
  <c r="H97" i="57" s="1"/>
  <c r="H12" i="57"/>
  <c r="F34" i="57"/>
  <c r="I5" i="57"/>
  <c r="H95" i="57" s="1"/>
  <c r="G119" i="57"/>
  <c r="I8" i="57"/>
  <c r="H98" i="57" s="1"/>
  <c r="I33" i="57"/>
  <c r="J77" i="57"/>
  <c r="L77" i="57" s="1"/>
  <c r="F96" i="57"/>
  <c r="F100" i="57"/>
  <c r="H113" i="57"/>
  <c r="H114" i="57" s="1"/>
  <c r="F116" i="57"/>
  <c r="F118" i="57" s="1"/>
  <c r="H20" i="57"/>
  <c r="F95" i="57"/>
  <c r="F104" i="57"/>
  <c r="F106" i="57" s="1"/>
  <c r="H108" i="57"/>
  <c r="H111" i="57" s="1"/>
  <c r="I21" i="57"/>
  <c r="I22" i="57" s="1"/>
  <c r="H25" i="57"/>
  <c r="I27" i="57"/>
  <c r="H117" i="57" s="1"/>
  <c r="H33" i="57"/>
  <c r="H116" i="57"/>
  <c r="O34" i="57"/>
  <c r="J69" i="56"/>
  <c r="J55" i="56"/>
  <c r="I6" i="56"/>
  <c r="I7" i="56"/>
  <c r="I8" i="56"/>
  <c r="I10" i="56"/>
  <c r="I11" i="56"/>
  <c r="H6" i="56"/>
  <c r="H7" i="56"/>
  <c r="H8" i="56"/>
  <c r="H9" i="56"/>
  <c r="I9" i="56" s="1"/>
  <c r="H10" i="56"/>
  <c r="H11" i="56"/>
  <c r="I16" i="56"/>
  <c r="H16" i="56"/>
  <c r="H30" i="56"/>
  <c r="I30" i="56" s="1"/>
  <c r="H15" i="56"/>
  <c r="I15" i="56" s="1"/>
  <c r="H103" i="57" l="1"/>
  <c r="H106" i="57" s="1"/>
  <c r="H118" i="57"/>
  <c r="I25" i="57"/>
  <c r="J76" i="57"/>
  <c r="L76" i="57" s="1"/>
  <c r="J69" i="57"/>
  <c r="L69" i="57" s="1"/>
  <c r="G40" i="57"/>
  <c r="D56" i="57" s="1"/>
  <c r="D57" i="57" s="1"/>
  <c r="D62" i="57" s="1"/>
  <c r="D70" i="57" s="1"/>
  <c r="D72" i="57" s="1"/>
  <c r="H101" i="57"/>
  <c r="I12" i="57"/>
  <c r="H34" i="57"/>
  <c r="J56" i="57"/>
  <c r="L56" i="57" s="1"/>
  <c r="J54" i="57"/>
  <c r="L54" i="57" s="1"/>
  <c r="L52" i="57"/>
  <c r="J65" i="57"/>
  <c r="L65" i="57" s="1"/>
  <c r="L61" i="57"/>
  <c r="L55" i="57"/>
  <c r="F101" i="57"/>
  <c r="F119" i="57" s="1"/>
  <c r="I28" i="57"/>
  <c r="M33" i="56"/>
  <c r="M31" i="56"/>
  <c r="M32" i="56"/>
  <c r="M29" i="56"/>
  <c r="M34" i="56" s="1"/>
  <c r="M26" i="56"/>
  <c r="M24" i="56"/>
  <c r="M23" i="56"/>
  <c r="M21" i="56"/>
  <c r="M22" i="56" s="1"/>
  <c r="M17" i="56"/>
  <c r="M13" i="56"/>
  <c r="M7" i="56"/>
  <c r="M8" i="56"/>
  <c r="M9" i="56"/>
  <c r="M10" i="56"/>
  <c r="M11" i="56"/>
  <c r="M5" i="56"/>
  <c r="G118" i="56"/>
  <c r="G117" i="56"/>
  <c r="G119" i="56" s="1"/>
  <c r="G114" i="56"/>
  <c r="G115" i="56" s="1"/>
  <c r="H111" i="56"/>
  <c r="G111" i="56"/>
  <c r="F111" i="56"/>
  <c r="G110" i="56"/>
  <c r="G109" i="56"/>
  <c r="G105" i="56"/>
  <c r="G104" i="56"/>
  <c r="G101" i="56"/>
  <c r="G100" i="56"/>
  <c r="G99" i="56"/>
  <c r="G98" i="56"/>
  <c r="G97" i="56"/>
  <c r="G96" i="56"/>
  <c r="K90" i="56"/>
  <c r="J89" i="56"/>
  <c r="L89" i="56" s="1"/>
  <c r="K87" i="56"/>
  <c r="L87" i="56" s="1"/>
  <c r="J86" i="56"/>
  <c r="L86" i="56" s="1"/>
  <c r="J85" i="56"/>
  <c r="L85" i="56" s="1"/>
  <c r="K83" i="56"/>
  <c r="J74" i="56"/>
  <c r="L74" i="56" s="1"/>
  <c r="J73" i="56"/>
  <c r="L73" i="56" s="1"/>
  <c r="D70" i="56"/>
  <c r="K67" i="56"/>
  <c r="L65" i="56"/>
  <c r="D62" i="56"/>
  <c r="D56" i="56"/>
  <c r="O34" i="56"/>
  <c r="N34" i="56"/>
  <c r="L34" i="56"/>
  <c r="K34" i="56"/>
  <c r="J34" i="56"/>
  <c r="G34" i="56"/>
  <c r="F34" i="56"/>
  <c r="H33" i="56"/>
  <c r="I33" i="56" s="1"/>
  <c r="H32" i="56"/>
  <c r="I32" i="56" s="1"/>
  <c r="H31" i="56"/>
  <c r="H29" i="56"/>
  <c r="F109" i="56" s="1"/>
  <c r="O28" i="56"/>
  <c r="N28" i="56"/>
  <c r="L28" i="56"/>
  <c r="K28" i="56"/>
  <c r="J28" i="56"/>
  <c r="G28" i="56"/>
  <c r="F28" i="56"/>
  <c r="H27" i="56"/>
  <c r="F118" i="56" s="1"/>
  <c r="H26" i="56"/>
  <c r="F117" i="56" s="1"/>
  <c r="F119" i="56" s="1"/>
  <c r="O25" i="56"/>
  <c r="N25" i="56"/>
  <c r="L25" i="56"/>
  <c r="K25" i="56"/>
  <c r="J25" i="56"/>
  <c r="G25" i="56"/>
  <c r="F25" i="56"/>
  <c r="H24" i="56"/>
  <c r="I24" i="56" s="1"/>
  <c r="H23" i="56"/>
  <c r="F114" i="56" s="1"/>
  <c r="F115" i="56" s="1"/>
  <c r="O22" i="56"/>
  <c r="N22" i="56"/>
  <c r="L22" i="56"/>
  <c r="K22" i="56"/>
  <c r="J22" i="56"/>
  <c r="G22" i="56"/>
  <c r="F22" i="56"/>
  <c r="H21" i="56"/>
  <c r="H22" i="56" s="1"/>
  <c r="O20" i="56"/>
  <c r="N20" i="56"/>
  <c r="L20" i="56"/>
  <c r="K20" i="56"/>
  <c r="J20" i="56"/>
  <c r="G20" i="56"/>
  <c r="F20" i="56"/>
  <c r="H19" i="56"/>
  <c r="I19" i="56" s="1"/>
  <c r="H18" i="56"/>
  <c r="I18" i="56" s="1"/>
  <c r="H17" i="56"/>
  <c r="I17" i="56" s="1"/>
  <c r="H14" i="56"/>
  <c r="F105" i="56" s="1"/>
  <c r="H13" i="56"/>
  <c r="O12" i="56"/>
  <c r="N12" i="56"/>
  <c r="L12" i="56"/>
  <c r="K12" i="56"/>
  <c r="J12" i="56"/>
  <c r="G12" i="56"/>
  <c r="F12" i="56"/>
  <c r="F101" i="56"/>
  <c r="F100" i="56"/>
  <c r="F99" i="56"/>
  <c r="F98" i="56"/>
  <c r="F97" i="56"/>
  <c r="H5" i="56"/>
  <c r="J74" i="57" l="1"/>
  <c r="L74" i="57" s="1"/>
  <c r="H119" i="57"/>
  <c r="J78" i="57"/>
  <c r="L78" i="57" s="1"/>
  <c r="I34" i="57"/>
  <c r="J58" i="57"/>
  <c r="L58" i="57" s="1"/>
  <c r="F110" i="56"/>
  <c r="I31" i="56"/>
  <c r="M25" i="56"/>
  <c r="J71" i="56"/>
  <c r="L71" i="56" s="1"/>
  <c r="G112" i="56"/>
  <c r="F112" i="56"/>
  <c r="G102" i="56"/>
  <c r="G107" i="56"/>
  <c r="H12" i="56"/>
  <c r="G39" i="56"/>
  <c r="G38" i="56"/>
  <c r="N35" i="56"/>
  <c r="I23" i="56"/>
  <c r="J77" i="56" s="1"/>
  <c r="L77" i="56" s="1"/>
  <c r="I26" i="56"/>
  <c r="K35" i="56"/>
  <c r="O35" i="56"/>
  <c r="L35" i="56"/>
  <c r="G37" i="56"/>
  <c r="J35" i="56"/>
  <c r="G36" i="56"/>
  <c r="G35" i="56"/>
  <c r="I29" i="56"/>
  <c r="H109" i="56" s="1"/>
  <c r="H112" i="56" s="1"/>
  <c r="H20" i="56"/>
  <c r="I14" i="56"/>
  <c r="H105" i="56" s="1"/>
  <c r="H101" i="56"/>
  <c r="H99" i="56"/>
  <c r="F35" i="56"/>
  <c r="J64" i="56"/>
  <c r="L64" i="56" s="1"/>
  <c r="J72" i="56"/>
  <c r="L72" i="56" s="1"/>
  <c r="H98" i="56"/>
  <c r="H100" i="56"/>
  <c r="M12" i="56"/>
  <c r="I13" i="56"/>
  <c r="I21" i="56"/>
  <c r="I22" i="56" s="1"/>
  <c r="H25" i="56"/>
  <c r="I27" i="56"/>
  <c r="H118" i="56" s="1"/>
  <c r="H28" i="56"/>
  <c r="G40" i="56"/>
  <c r="J78" i="56"/>
  <c r="L78" i="56" s="1"/>
  <c r="F96" i="56"/>
  <c r="F102" i="56" s="1"/>
  <c r="I5" i="56"/>
  <c r="H34" i="56"/>
  <c r="F104" i="56"/>
  <c r="F107" i="56" s="1"/>
  <c r="M30" i="55"/>
  <c r="M31" i="55"/>
  <c r="M32" i="55"/>
  <c r="M29" i="55"/>
  <c r="M26" i="55"/>
  <c r="M24" i="55"/>
  <c r="M23" i="55"/>
  <c r="M21" i="55"/>
  <c r="M18" i="55"/>
  <c r="M16" i="55"/>
  <c r="M13" i="55"/>
  <c r="M10" i="55"/>
  <c r="M11" i="55"/>
  <c r="M9" i="55"/>
  <c r="M6" i="55"/>
  <c r="M7" i="55"/>
  <c r="J54" i="55" s="1"/>
  <c r="M5" i="55"/>
  <c r="I8" i="55"/>
  <c r="H8" i="55"/>
  <c r="H17" i="55"/>
  <c r="I17" i="55" s="1"/>
  <c r="H15" i="55"/>
  <c r="I15" i="55" s="1"/>
  <c r="J53" i="56" l="1"/>
  <c r="I12" i="56"/>
  <c r="G120" i="56"/>
  <c r="H114" i="56"/>
  <c r="H115" i="56" s="1"/>
  <c r="J66" i="56"/>
  <c r="L66" i="56" s="1"/>
  <c r="I25" i="56"/>
  <c r="I34" i="56"/>
  <c r="I28" i="56"/>
  <c r="H117" i="56"/>
  <c r="H119" i="56" s="1"/>
  <c r="J81" i="56"/>
  <c r="L81" i="56" s="1"/>
  <c r="F120" i="56"/>
  <c r="H97" i="56"/>
  <c r="J54" i="56"/>
  <c r="L54" i="56" s="1"/>
  <c r="J56" i="56"/>
  <c r="L56" i="56" s="1"/>
  <c r="G41" i="56"/>
  <c r="D57" i="56" s="1"/>
  <c r="D58" i="56" s="1"/>
  <c r="D63" i="56" s="1"/>
  <c r="D71" i="56" s="1"/>
  <c r="D73" i="56" s="1"/>
  <c r="L69" i="56"/>
  <c r="H35" i="56"/>
  <c r="J58" i="56"/>
  <c r="L58" i="56" s="1"/>
  <c r="H96" i="56"/>
  <c r="H104" i="56"/>
  <c r="H107" i="56" s="1"/>
  <c r="I20" i="56"/>
  <c r="L55" i="56"/>
  <c r="J70" i="56"/>
  <c r="L70" i="56" s="1"/>
  <c r="J62" i="56"/>
  <c r="J57" i="56"/>
  <c r="L57" i="56" s="1"/>
  <c r="J79" i="56"/>
  <c r="L79" i="56" s="1"/>
  <c r="H7" i="55"/>
  <c r="F97" i="55" s="1"/>
  <c r="G117" i="55"/>
  <c r="G116" i="55"/>
  <c r="G118" i="55" s="1"/>
  <c r="G113" i="55"/>
  <c r="G114" i="55" s="1"/>
  <c r="H110" i="55"/>
  <c r="G110" i="55"/>
  <c r="F110" i="55"/>
  <c r="G109" i="55"/>
  <c r="G108" i="55"/>
  <c r="G111" i="55" s="1"/>
  <c r="G104" i="55"/>
  <c r="G103" i="55"/>
  <c r="G106" i="55" s="1"/>
  <c r="G100" i="55"/>
  <c r="G99" i="55"/>
  <c r="G98" i="55"/>
  <c r="G97" i="55"/>
  <c r="G96" i="55"/>
  <c r="G101" i="55" s="1"/>
  <c r="G95" i="55"/>
  <c r="K89" i="55"/>
  <c r="J88" i="55"/>
  <c r="L88" i="55" s="1"/>
  <c r="L86" i="55"/>
  <c r="K86" i="55"/>
  <c r="J85" i="55"/>
  <c r="L85" i="55" s="1"/>
  <c r="J84" i="55"/>
  <c r="L84" i="55" s="1"/>
  <c r="K82" i="55"/>
  <c r="J73" i="55"/>
  <c r="L73" i="55" s="1"/>
  <c r="J72" i="55"/>
  <c r="L72" i="55" s="1"/>
  <c r="D69" i="55"/>
  <c r="K66" i="55"/>
  <c r="L64" i="55"/>
  <c r="D61" i="55"/>
  <c r="D55" i="55"/>
  <c r="O33" i="55"/>
  <c r="N33" i="55"/>
  <c r="L33" i="55"/>
  <c r="K33" i="55"/>
  <c r="J33" i="55"/>
  <c r="G33" i="55"/>
  <c r="F33" i="55"/>
  <c r="H32" i="55"/>
  <c r="I32" i="55" s="1"/>
  <c r="H31" i="55"/>
  <c r="I31" i="55" s="1"/>
  <c r="H30" i="55"/>
  <c r="F109" i="55" s="1"/>
  <c r="H29" i="55"/>
  <c r="F108" i="55" s="1"/>
  <c r="O28" i="55"/>
  <c r="N28" i="55"/>
  <c r="L28" i="55"/>
  <c r="K28" i="55"/>
  <c r="J28" i="55"/>
  <c r="G28" i="55"/>
  <c r="F28" i="55"/>
  <c r="H27" i="55"/>
  <c r="F117" i="55" s="1"/>
  <c r="H26" i="55"/>
  <c r="F116" i="55" s="1"/>
  <c r="O25" i="55"/>
  <c r="N25" i="55"/>
  <c r="L25" i="55"/>
  <c r="K25" i="55"/>
  <c r="J25" i="55"/>
  <c r="G25" i="55"/>
  <c r="F25" i="55"/>
  <c r="H24" i="55"/>
  <c r="I24" i="55" s="1"/>
  <c r="H23" i="55"/>
  <c r="F113" i="55" s="1"/>
  <c r="F114" i="55" s="1"/>
  <c r="O22" i="55"/>
  <c r="N22" i="55"/>
  <c r="L22" i="55"/>
  <c r="K22" i="55"/>
  <c r="J22" i="55"/>
  <c r="G22" i="55"/>
  <c r="F22" i="55"/>
  <c r="M22" i="55"/>
  <c r="H21" i="55"/>
  <c r="H22" i="55" s="1"/>
  <c r="O20" i="55"/>
  <c r="N20" i="55"/>
  <c r="L20" i="55"/>
  <c r="K20" i="55"/>
  <c r="J20" i="55"/>
  <c r="G20" i="55"/>
  <c r="F20" i="55"/>
  <c r="H19" i="55"/>
  <c r="I19" i="55" s="1"/>
  <c r="H18" i="55"/>
  <c r="I18" i="55" s="1"/>
  <c r="H16" i="55"/>
  <c r="I16" i="55" s="1"/>
  <c r="H14" i="55"/>
  <c r="F104" i="55" s="1"/>
  <c r="H13" i="55"/>
  <c r="O12" i="55"/>
  <c r="N12" i="55"/>
  <c r="L12" i="55"/>
  <c r="K12" i="55"/>
  <c r="J12" i="55"/>
  <c r="G12" i="55"/>
  <c r="F12" i="55"/>
  <c r="H11" i="55"/>
  <c r="F100" i="55" s="1"/>
  <c r="H10" i="55"/>
  <c r="I10" i="55" s="1"/>
  <c r="H99" i="55" s="1"/>
  <c r="H9" i="55"/>
  <c r="F98" i="55" s="1"/>
  <c r="I7" i="55"/>
  <c r="H97" i="55" s="1"/>
  <c r="H6" i="55"/>
  <c r="I6" i="55" s="1"/>
  <c r="H96" i="55" s="1"/>
  <c r="H5" i="55"/>
  <c r="F95" i="55" s="1"/>
  <c r="H102" i="56" l="1"/>
  <c r="H120" i="56" s="1"/>
  <c r="J75" i="56"/>
  <c r="L75" i="56" s="1"/>
  <c r="I35" i="56"/>
  <c r="L53" i="56"/>
  <c r="J59" i="56"/>
  <c r="L59" i="56" s="1"/>
  <c r="L62" i="56"/>
  <c r="I5" i="55"/>
  <c r="H95" i="55" s="1"/>
  <c r="I26" i="55"/>
  <c r="H116" i="55" s="1"/>
  <c r="J70" i="55"/>
  <c r="L70" i="55" s="1"/>
  <c r="G37" i="55"/>
  <c r="G38" i="55"/>
  <c r="M33" i="55"/>
  <c r="M25" i="55"/>
  <c r="F118" i="55"/>
  <c r="F111" i="55"/>
  <c r="J52" i="55"/>
  <c r="L52" i="55" s="1"/>
  <c r="I23" i="55"/>
  <c r="J76" i="55" s="1"/>
  <c r="L76" i="55" s="1"/>
  <c r="L54" i="55"/>
  <c r="N34" i="55"/>
  <c r="O34" i="55"/>
  <c r="H20" i="55"/>
  <c r="G34" i="55"/>
  <c r="K34" i="55"/>
  <c r="L34" i="55"/>
  <c r="G36" i="55"/>
  <c r="J56" i="55"/>
  <c r="L56" i="55" s="1"/>
  <c r="J34" i="55"/>
  <c r="G35" i="55"/>
  <c r="I29" i="55"/>
  <c r="J68" i="55" s="1"/>
  <c r="L68" i="55" s="1"/>
  <c r="I14" i="55"/>
  <c r="H104" i="55" s="1"/>
  <c r="I11" i="55"/>
  <c r="H100" i="55" s="1"/>
  <c r="I9" i="55"/>
  <c r="H98" i="55" s="1"/>
  <c r="F34" i="55"/>
  <c r="J63" i="55"/>
  <c r="L63" i="55" s="1"/>
  <c r="J53" i="55"/>
  <c r="L53" i="55" s="1"/>
  <c r="I25" i="55"/>
  <c r="J71" i="55"/>
  <c r="L71" i="55" s="1"/>
  <c r="G119" i="55"/>
  <c r="I21" i="55"/>
  <c r="I22" i="55" s="1"/>
  <c r="H25" i="55"/>
  <c r="I27" i="55"/>
  <c r="H117" i="55" s="1"/>
  <c r="H118" i="55" s="1"/>
  <c r="H28" i="55"/>
  <c r="I30" i="55"/>
  <c r="G39" i="55"/>
  <c r="J77" i="55"/>
  <c r="L77" i="55" s="1"/>
  <c r="F96" i="55"/>
  <c r="H113" i="55"/>
  <c r="H114" i="55" s="1"/>
  <c r="F99" i="55"/>
  <c r="H12" i="55"/>
  <c r="M12" i="55"/>
  <c r="I13" i="55"/>
  <c r="H33" i="55"/>
  <c r="F103" i="55"/>
  <c r="F106" i="55" s="1"/>
  <c r="D53" i="54"/>
  <c r="F23" i="2"/>
  <c r="F20" i="2"/>
  <c r="J80" i="55" l="1"/>
  <c r="L80" i="55" s="1"/>
  <c r="J65" i="55"/>
  <c r="L65" i="55" s="1"/>
  <c r="J78" i="55"/>
  <c r="L78" i="55" s="1"/>
  <c r="G40" i="55"/>
  <c r="D56" i="55" s="1"/>
  <c r="D57" i="55" s="1"/>
  <c r="D62" i="55" s="1"/>
  <c r="D70" i="55" s="1"/>
  <c r="D72" i="55" s="1"/>
  <c r="H101" i="55"/>
  <c r="I12" i="55"/>
  <c r="J55" i="55"/>
  <c r="L55" i="55" s="1"/>
  <c r="H108" i="55"/>
  <c r="H111" i="55" s="1"/>
  <c r="I33" i="55"/>
  <c r="H34" i="55"/>
  <c r="J57" i="55"/>
  <c r="L57" i="55" s="1"/>
  <c r="F101" i="55"/>
  <c r="F119" i="55" s="1"/>
  <c r="H103" i="55"/>
  <c r="H106" i="55" s="1"/>
  <c r="I20" i="55"/>
  <c r="I28" i="55"/>
  <c r="J69" i="55"/>
  <c r="J61" i="55"/>
  <c r="F10" i="2"/>
  <c r="F9" i="2"/>
  <c r="F8" i="2"/>
  <c r="F7" i="2"/>
  <c r="F6" i="2"/>
  <c r="H119" i="55" l="1"/>
  <c r="J58" i="55"/>
  <c r="L58" i="55" s="1"/>
  <c r="I34" i="55"/>
  <c r="L61" i="55"/>
  <c r="L69" i="55"/>
  <c r="J74" i="55"/>
  <c r="L74" i="55" s="1"/>
  <c r="M28" i="54"/>
  <c r="M29" i="54"/>
  <c r="M25" i="54"/>
  <c r="M24" i="54"/>
  <c r="M22" i="54"/>
  <c r="M21" i="54"/>
  <c r="M19" i="54"/>
  <c r="M16" i="54"/>
  <c r="M15" i="54" l="1"/>
  <c r="M14" i="54"/>
  <c r="M12" i="54"/>
  <c r="M6" i="54"/>
  <c r="M7" i="54"/>
  <c r="M5" i="54"/>
  <c r="I13" i="54"/>
  <c r="H13" i="54"/>
  <c r="G115" i="54" l="1"/>
  <c r="G114" i="54"/>
  <c r="G116" i="54" s="1"/>
  <c r="G111" i="54"/>
  <c r="G112" i="54" s="1"/>
  <c r="H108" i="54"/>
  <c r="G108" i="54"/>
  <c r="F108" i="54"/>
  <c r="G107" i="54"/>
  <c r="G106" i="54"/>
  <c r="G102" i="54"/>
  <c r="G101" i="54"/>
  <c r="G98" i="54"/>
  <c r="G96" i="54"/>
  <c r="G95" i="54"/>
  <c r="G94" i="54"/>
  <c r="G93" i="54"/>
  <c r="K87" i="54"/>
  <c r="J86" i="54"/>
  <c r="L86" i="54" s="1"/>
  <c r="K84" i="54"/>
  <c r="L84" i="54" s="1"/>
  <c r="J83" i="54"/>
  <c r="L83" i="54" s="1"/>
  <c r="J82" i="54"/>
  <c r="L82" i="54" s="1"/>
  <c r="K80" i="54"/>
  <c r="J71" i="54"/>
  <c r="L71" i="54" s="1"/>
  <c r="J70" i="54"/>
  <c r="L70" i="54" s="1"/>
  <c r="D67" i="54"/>
  <c r="K64" i="54"/>
  <c r="L62" i="54"/>
  <c r="D59" i="54"/>
  <c r="O31" i="54"/>
  <c r="N31" i="54"/>
  <c r="L31" i="54"/>
  <c r="K31" i="54"/>
  <c r="J31" i="54"/>
  <c r="G31" i="54"/>
  <c r="F31" i="54"/>
  <c r="H30" i="54"/>
  <c r="I30" i="54" s="1"/>
  <c r="H29" i="54"/>
  <c r="I29" i="54" s="1"/>
  <c r="H28" i="54"/>
  <c r="F107" i="54" s="1"/>
  <c r="H27" i="54"/>
  <c r="F106" i="54" s="1"/>
  <c r="O26" i="54"/>
  <c r="N26" i="54"/>
  <c r="L26" i="54"/>
  <c r="K26" i="54"/>
  <c r="J26" i="54"/>
  <c r="G26" i="54"/>
  <c r="F26" i="54"/>
  <c r="H25" i="54"/>
  <c r="F115" i="54" s="1"/>
  <c r="H24" i="54"/>
  <c r="F114" i="54" s="1"/>
  <c r="O23" i="54"/>
  <c r="N23" i="54"/>
  <c r="L23" i="54"/>
  <c r="K23" i="54"/>
  <c r="J23" i="54"/>
  <c r="G23" i="54"/>
  <c r="F23" i="54"/>
  <c r="H22" i="54"/>
  <c r="I22" i="54" s="1"/>
  <c r="H21" i="54"/>
  <c r="F111" i="54" s="1"/>
  <c r="F112" i="54" s="1"/>
  <c r="O20" i="54"/>
  <c r="N20" i="54"/>
  <c r="L20" i="54"/>
  <c r="K20" i="54"/>
  <c r="J20" i="54"/>
  <c r="G20" i="54"/>
  <c r="F20" i="54"/>
  <c r="H19" i="54"/>
  <c r="H20" i="54" s="1"/>
  <c r="O18" i="54"/>
  <c r="N18" i="54"/>
  <c r="L18" i="54"/>
  <c r="K18" i="54"/>
  <c r="J18" i="54"/>
  <c r="G18" i="54"/>
  <c r="F18" i="54"/>
  <c r="H17" i="54"/>
  <c r="I17" i="54" s="1"/>
  <c r="H16" i="54"/>
  <c r="I16" i="54" s="1"/>
  <c r="H15" i="54"/>
  <c r="I15" i="54" s="1"/>
  <c r="H14" i="54"/>
  <c r="H12" i="54"/>
  <c r="F101" i="54" s="1"/>
  <c r="N11" i="54"/>
  <c r="L11" i="54"/>
  <c r="K11" i="54"/>
  <c r="J11" i="54"/>
  <c r="G11" i="54"/>
  <c r="F11" i="54"/>
  <c r="H10" i="54"/>
  <c r="F98" i="54" s="1"/>
  <c r="O11" i="54"/>
  <c r="H9" i="54"/>
  <c r="F97" i="54" s="1"/>
  <c r="H8" i="54"/>
  <c r="F96" i="54" s="1"/>
  <c r="I7" i="54"/>
  <c r="H95" i="54" s="1"/>
  <c r="H6" i="54"/>
  <c r="F94" i="54" s="1"/>
  <c r="H5" i="54"/>
  <c r="F93" i="54" s="1"/>
  <c r="G104" i="54" l="1"/>
  <c r="I24" i="54"/>
  <c r="H114" i="54" s="1"/>
  <c r="G109" i="54"/>
  <c r="I27" i="54"/>
  <c r="H106" i="54" s="1"/>
  <c r="H109" i="54" s="1"/>
  <c r="M23" i="54"/>
  <c r="K32" i="54"/>
  <c r="I21" i="54"/>
  <c r="H111" i="54" s="1"/>
  <c r="H112" i="54" s="1"/>
  <c r="J74" i="54"/>
  <c r="L74" i="54" s="1"/>
  <c r="J78" i="54"/>
  <c r="L78" i="54" s="1"/>
  <c r="G36" i="54"/>
  <c r="J68" i="54"/>
  <c r="L68" i="54" s="1"/>
  <c r="N32" i="54"/>
  <c r="L32" i="54"/>
  <c r="G37" i="54"/>
  <c r="G34" i="54"/>
  <c r="J32" i="54"/>
  <c r="G33" i="54"/>
  <c r="I12" i="54"/>
  <c r="H101" i="54" s="1"/>
  <c r="G32" i="54"/>
  <c r="H18" i="54"/>
  <c r="J61" i="54"/>
  <c r="L61" i="54" s="1"/>
  <c r="J59" i="54"/>
  <c r="L59" i="54" s="1"/>
  <c r="I8" i="54"/>
  <c r="H96" i="54" s="1"/>
  <c r="I6" i="54"/>
  <c r="H94" i="54" s="1"/>
  <c r="F32" i="54"/>
  <c r="J52" i="54"/>
  <c r="L52" i="54" s="1"/>
  <c r="O32" i="54"/>
  <c r="F116" i="54"/>
  <c r="F109" i="54"/>
  <c r="M20" i="54"/>
  <c r="I5" i="54"/>
  <c r="I9" i="54"/>
  <c r="H97" i="54" s="1"/>
  <c r="I10" i="54"/>
  <c r="H98" i="54" s="1"/>
  <c r="H11" i="54"/>
  <c r="I14" i="54"/>
  <c r="H102" i="54" s="1"/>
  <c r="M18" i="54"/>
  <c r="I19" i="54"/>
  <c r="I20" i="54" s="1"/>
  <c r="H23" i="54"/>
  <c r="I25" i="54"/>
  <c r="H115" i="54" s="1"/>
  <c r="H116" i="54" s="1"/>
  <c r="H26" i="54"/>
  <c r="I28" i="54"/>
  <c r="J67" i="54" s="1"/>
  <c r="H31" i="54"/>
  <c r="G35" i="54"/>
  <c r="J75" i="54"/>
  <c r="L75" i="54" s="1"/>
  <c r="G97" i="54"/>
  <c r="G99" i="54" s="1"/>
  <c r="F102" i="54"/>
  <c r="F104" i="54" s="1"/>
  <c r="I23" i="54"/>
  <c r="M26" i="54"/>
  <c r="F95" i="54"/>
  <c r="F99" i="54" s="1"/>
  <c r="G117" i="54" l="1"/>
  <c r="I31" i="54"/>
  <c r="J51" i="54"/>
  <c r="L51" i="54" s="1"/>
  <c r="G38" i="54"/>
  <c r="D54" i="54" s="1"/>
  <c r="D55" i="54" s="1"/>
  <c r="D60" i="54" s="1"/>
  <c r="D68" i="54" s="1"/>
  <c r="D70" i="54" s="1"/>
  <c r="H104" i="54"/>
  <c r="I18" i="54"/>
  <c r="L67" i="54"/>
  <c r="J63" i="54"/>
  <c r="L63" i="54" s="1"/>
  <c r="J60" i="54"/>
  <c r="M14" i="55" s="1"/>
  <c r="H32" i="54"/>
  <c r="H93" i="54"/>
  <c r="H99" i="54" s="1"/>
  <c r="I11" i="54"/>
  <c r="J79" i="54"/>
  <c r="M27" i="55" s="1"/>
  <c r="J76" i="54"/>
  <c r="L76" i="54" s="1"/>
  <c r="I26" i="54"/>
  <c r="F117" i="54"/>
  <c r="J50" i="54"/>
  <c r="M20" i="55" l="1"/>
  <c r="J62" i="55"/>
  <c r="M28" i="55"/>
  <c r="M34" i="55" s="1"/>
  <c r="J81" i="55"/>
  <c r="H117" i="54"/>
  <c r="I32" i="54"/>
  <c r="L50" i="54"/>
  <c r="L79" i="54"/>
  <c r="J80" i="54"/>
  <c r="L60" i="54"/>
  <c r="J64" i="54"/>
  <c r="L64" i="54" s="1"/>
  <c r="L62" i="55" l="1"/>
  <c r="M14" i="56"/>
  <c r="J66" i="55"/>
  <c r="L66" i="55" s="1"/>
  <c r="M27" i="56"/>
  <c r="L81" i="55"/>
  <c r="J82" i="55"/>
  <c r="L80" i="54"/>
  <c r="M20" i="56" l="1"/>
  <c r="J63" i="56"/>
  <c r="J91" i="55"/>
  <c r="L82" i="55"/>
  <c r="M28" i="56"/>
  <c r="M35" i="56" s="1"/>
  <c r="J82" i="56"/>
  <c r="J4" i="2"/>
  <c r="L63" i="56" l="1"/>
  <c r="M15" i="57"/>
  <c r="J67" i="56"/>
  <c r="L67" i="56" s="1"/>
  <c r="M27" i="57"/>
  <c r="J83" i="56"/>
  <c r="L82" i="56"/>
  <c r="M30" i="54"/>
  <c r="J69" i="54" s="1"/>
  <c r="L69" i="54" s="1"/>
  <c r="M27" i="54"/>
  <c r="M10" i="54"/>
  <c r="J55" i="54" s="1"/>
  <c r="L55" i="54" s="1"/>
  <c r="J62" i="57" l="1"/>
  <c r="M20" i="57"/>
  <c r="J92" i="56"/>
  <c r="L83" i="56"/>
  <c r="M28" i="57"/>
  <c r="M34" i="57" s="1"/>
  <c r="J81" i="57"/>
  <c r="M31" i="54"/>
  <c r="J66" i="54"/>
  <c r="M8" i="54"/>
  <c r="G8" i="2"/>
  <c r="M9" i="54"/>
  <c r="J54" i="54" s="1"/>
  <c r="L54" i="54" s="1"/>
  <c r="G9" i="2"/>
  <c r="G6" i="2"/>
  <c r="M13" i="58" l="1"/>
  <c r="L62" i="57"/>
  <c r="J66" i="57"/>
  <c r="L66" i="57" s="1"/>
  <c r="L81" i="57"/>
  <c r="M25" i="58"/>
  <c r="J82" i="57"/>
  <c r="L66" i="54"/>
  <c r="J72" i="54"/>
  <c r="L72" i="54" s="1"/>
  <c r="M11" i="54"/>
  <c r="M32" i="54" s="1"/>
  <c r="J53" i="54"/>
  <c r="G5" i="2"/>
  <c r="F30" i="2"/>
  <c r="J60" i="58" l="1"/>
  <c r="M18" i="58"/>
  <c r="L82" i="57"/>
  <c r="J91" i="57"/>
  <c r="M26" i="58"/>
  <c r="J79" i="58"/>
  <c r="J56" i="54"/>
  <c r="L53" i="54"/>
  <c r="F34" i="2"/>
  <c r="M32" i="58" l="1"/>
  <c r="M13" i="59"/>
  <c r="L60" i="58"/>
  <c r="J64" i="58"/>
  <c r="L64" i="58" s="1"/>
  <c r="M25" i="59"/>
  <c r="J80" i="58"/>
  <c r="L79" i="58"/>
  <c r="J89" i="54"/>
  <c r="L56" i="54"/>
  <c r="G10" i="2"/>
  <c r="G7" i="2"/>
  <c r="M18" i="59" l="1"/>
  <c r="J60" i="59"/>
  <c r="L80" i="58"/>
  <c r="J89" i="58"/>
  <c r="J79" i="59"/>
  <c r="M26" i="59"/>
  <c r="M32" i="59" s="1"/>
  <c r="G11" i="2"/>
  <c r="L60" i="59" l="1"/>
  <c r="M14" i="60"/>
  <c r="J64" i="59"/>
  <c r="L64" i="59" s="1"/>
  <c r="L79" i="59"/>
  <c r="M26" i="60"/>
  <c r="J80" i="59"/>
  <c r="C26" i="2"/>
  <c r="B11" i="2"/>
  <c r="C11" i="2"/>
  <c r="F26" i="2"/>
  <c r="F18" i="2"/>
  <c r="F11" i="2"/>
  <c r="J61" i="60" l="1"/>
  <c r="M19" i="60"/>
  <c r="J89" i="59"/>
  <c r="L80" i="59"/>
  <c r="M27" i="60"/>
  <c r="J80" i="60"/>
  <c r="F43" i="2"/>
  <c r="M33" i="60" l="1"/>
  <c r="M13" i="61"/>
  <c r="L61" i="60"/>
  <c r="J65" i="60"/>
  <c r="L65" i="60" s="1"/>
  <c r="M25" i="61"/>
  <c r="L80" i="60"/>
  <c r="J81" i="60"/>
  <c r="M18" i="61" l="1"/>
  <c r="J60" i="61"/>
  <c r="L81" i="60"/>
  <c r="J90" i="60"/>
  <c r="M26" i="61"/>
  <c r="M32" i="61" s="1"/>
  <c r="J79" i="61"/>
  <c r="M14" i="62" l="1"/>
  <c r="L60" i="61"/>
  <c r="J64" i="61"/>
  <c r="L64" i="61" s="1"/>
  <c r="M28" i="62"/>
  <c r="J80" i="61"/>
  <c r="L79" i="61"/>
  <c r="J65" i="62" l="1"/>
  <c r="M21" i="62"/>
  <c r="L80" i="61"/>
  <c r="J89" i="61"/>
  <c r="J84" i="62"/>
  <c r="M29" i="62"/>
  <c r="M37" i="62" s="1"/>
  <c r="M13" i="63" l="1"/>
  <c r="L65" i="62"/>
  <c r="J69" i="62"/>
  <c r="L69" i="62" s="1"/>
  <c r="M24" i="63"/>
  <c r="L84" i="62"/>
  <c r="J85" i="62"/>
  <c r="J59" i="63" l="1"/>
  <c r="M17" i="63"/>
  <c r="L85" i="62"/>
  <c r="J94" i="62"/>
  <c r="J78" i="63"/>
  <c r="M25" i="63"/>
  <c r="M31" i="63" s="1"/>
  <c r="M13" i="64" l="1"/>
  <c r="L59" i="63"/>
  <c r="J63" i="63"/>
  <c r="L63" i="63" s="1"/>
  <c r="L78" i="63"/>
  <c r="J79" i="63"/>
  <c r="M27" i="64"/>
  <c r="J63" i="64" l="1"/>
  <c r="M20" i="64"/>
  <c r="J82" i="64"/>
  <c r="M28" i="64"/>
  <c r="M35" i="64" s="1"/>
  <c r="L79" i="63"/>
  <c r="J88" i="63"/>
  <c r="M13" i="65" l="1"/>
  <c r="L63" i="64"/>
  <c r="J67" i="64"/>
  <c r="L67" i="64" s="1"/>
  <c r="M24" i="65"/>
  <c r="L82" i="64"/>
  <c r="J83" i="64"/>
  <c r="J59" i="65" l="1"/>
  <c r="M17" i="65"/>
  <c r="J92" i="64"/>
  <c r="L83" i="64"/>
  <c r="M25" i="65"/>
  <c r="J78" i="65"/>
  <c r="M31" i="65" l="1"/>
  <c r="L59" i="65"/>
  <c r="M13" i="66"/>
  <c r="J63" i="65"/>
  <c r="L63" i="65" s="1"/>
  <c r="M24" i="66"/>
  <c r="L78" i="65"/>
  <c r="J79" i="65"/>
  <c r="M17" i="66" l="1"/>
  <c r="J60" i="66"/>
  <c r="L79" i="65"/>
  <c r="J88" i="65"/>
  <c r="M25" i="66"/>
  <c r="M32" i="66" s="1"/>
  <c r="J79" i="66"/>
  <c r="L60" i="66" l="1"/>
  <c r="M14" i="67"/>
  <c r="J64" i="66"/>
  <c r="L64" i="66" s="1"/>
  <c r="M26" i="67"/>
  <c r="L79" i="66"/>
  <c r="J80" i="66"/>
  <c r="J62" i="67" l="1"/>
  <c r="M19" i="67"/>
  <c r="L80" i="66"/>
  <c r="J89" i="66"/>
  <c r="M27" i="67"/>
  <c r="M34" i="67" s="1"/>
  <c r="J81" i="67"/>
  <c r="M15" i="68" l="1"/>
  <c r="L62" i="67"/>
  <c r="J66" i="67"/>
  <c r="L66" i="67" s="1"/>
  <c r="L81" i="67"/>
  <c r="M29" i="68"/>
  <c r="J82" i="67"/>
  <c r="J68" i="68" l="1"/>
  <c r="M22" i="68"/>
  <c r="L82" i="67"/>
  <c r="J91" i="67"/>
  <c r="M30" i="68"/>
  <c r="J87" i="68"/>
  <c r="M40" i="68" l="1"/>
  <c r="J72" i="68"/>
  <c r="L72" i="68" s="1"/>
  <c r="M13" i="69"/>
  <c r="L68" i="68"/>
  <c r="M24" i="69"/>
  <c r="L87" i="68"/>
  <c r="J88" i="68"/>
  <c r="J59" i="69" l="1"/>
  <c r="M17" i="69"/>
  <c r="L88" i="68"/>
  <c r="J97" i="68"/>
  <c r="M25" i="69"/>
  <c r="J78" i="69"/>
  <c r="M31" i="69" l="1"/>
  <c r="J63" i="69"/>
  <c r="L63" i="69" s="1"/>
  <c r="M15" i="70"/>
  <c r="L59" i="69"/>
  <c r="L78" i="69"/>
  <c r="J79" i="69"/>
  <c r="M19" i="70" l="1"/>
  <c r="M36" i="70" s="1"/>
  <c r="J64" i="70"/>
  <c r="L79" i="69"/>
  <c r="J88" i="69"/>
  <c r="J68" i="70" l="1"/>
  <c r="L64" i="70"/>
  <c r="J93" i="70" l="1"/>
  <c r="L68" i="70"/>
</calcChain>
</file>

<file path=xl/sharedStrings.xml><?xml version="1.0" encoding="utf-8"?>
<sst xmlns="http://schemas.openxmlformats.org/spreadsheetml/2006/main" count="6432" uniqueCount="103">
  <si>
    <t>Daily Cash Flow Statement</t>
  </si>
  <si>
    <t>Companies</t>
  </si>
  <si>
    <t>Order Bookers</t>
  </si>
  <si>
    <t>Suppliers</t>
  </si>
  <si>
    <t>Today Supply</t>
  </si>
  <si>
    <t>Return Stock</t>
  </si>
  <si>
    <t xml:space="preserve">Posting </t>
  </si>
  <si>
    <t>Credit Posted</t>
  </si>
  <si>
    <t>Summary Cash</t>
  </si>
  <si>
    <t>Claim Cleard By Suppliers</t>
  </si>
  <si>
    <t>Sabqa Payment By Suppliers</t>
  </si>
  <si>
    <t>Recovery List</t>
  </si>
  <si>
    <t>Return Stock/Claim Clear By OB</t>
  </si>
  <si>
    <t>Total Recovery</t>
  </si>
  <si>
    <t>CBL</t>
  </si>
  <si>
    <t>Danish</t>
  </si>
  <si>
    <t>-</t>
  </si>
  <si>
    <t>Danish ws</t>
  </si>
  <si>
    <t>Murtaza</t>
  </si>
  <si>
    <t>Ali</t>
  </si>
  <si>
    <t>Kashif</t>
  </si>
  <si>
    <t>Anas</t>
  </si>
  <si>
    <t>Total</t>
  </si>
  <si>
    <t>CDM/TANG</t>
  </si>
  <si>
    <t>QADEER</t>
  </si>
  <si>
    <t>SHAHID</t>
  </si>
  <si>
    <t>DANISH</t>
  </si>
  <si>
    <t>POP NOSH</t>
  </si>
  <si>
    <t>Imported Items</t>
  </si>
  <si>
    <t>SHAHZAD AHMAD</t>
  </si>
  <si>
    <t>TAHORA</t>
  </si>
  <si>
    <t>MURTAZA</t>
  </si>
  <si>
    <t>SHAN</t>
  </si>
  <si>
    <t>KHAWAR</t>
  </si>
  <si>
    <t>ASHRAF</t>
  </si>
  <si>
    <t>NET TOTAL</t>
  </si>
  <si>
    <t>CBL Cash</t>
  </si>
  <si>
    <t>CDM Cash</t>
  </si>
  <si>
    <t>Imported Item Cash</t>
  </si>
  <si>
    <t>Shan Food's Cash</t>
  </si>
  <si>
    <t>Total Cash</t>
  </si>
  <si>
    <t>Today Credit Closed</t>
  </si>
  <si>
    <t>COMPANY</t>
  </si>
  <si>
    <t>ODERBOOKERS</t>
  </si>
  <si>
    <t>CREDIT AMOUNT</t>
  </si>
  <si>
    <t>TOTAL</t>
  </si>
  <si>
    <t>CDM</t>
  </si>
  <si>
    <t>Shahid</t>
  </si>
  <si>
    <t>Qadeer</t>
  </si>
  <si>
    <t>SHAN FOODs</t>
  </si>
  <si>
    <t>Ashraf</t>
  </si>
  <si>
    <t>Khawar</t>
  </si>
  <si>
    <t>IMPORTED ITEMS</t>
  </si>
  <si>
    <t>Shahzad Ahmad</t>
  </si>
  <si>
    <t>MAHEE</t>
  </si>
  <si>
    <t>PAKAGES</t>
  </si>
  <si>
    <t>Rabnawaz</t>
  </si>
  <si>
    <t>QUICE</t>
  </si>
  <si>
    <t>Grand Total</t>
  </si>
  <si>
    <t>EXTRA SALE PASS</t>
  </si>
  <si>
    <t>Same Day Posting</t>
  </si>
  <si>
    <t xml:space="preserve">Extra Bill </t>
  </si>
  <si>
    <t>Opening Cash Month Of OCT 2025</t>
  </si>
  <si>
    <t>Cash Flow Statement</t>
  </si>
  <si>
    <t xml:space="preserve">Opening Cash </t>
  </si>
  <si>
    <t>Today Cash Collection</t>
  </si>
  <si>
    <t>Daily EXPS</t>
  </si>
  <si>
    <t>Remaining Cash</t>
  </si>
  <si>
    <t>Onlines</t>
  </si>
  <si>
    <t>Shan Foods</t>
  </si>
  <si>
    <t>POP Nosh</t>
  </si>
  <si>
    <t>Uncle Nadeem</t>
  </si>
  <si>
    <t>CDM &amp; Tang</t>
  </si>
  <si>
    <t>TOTAL ONLINES</t>
  </si>
  <si>
    <t>Today Closing Cash</t>
  </si>
  <si>
    <t>Kamyti</t>
  </si>
  <si>
    <t>OPENING CASH</t>
  </si>
  <si>
    <t>ACTUAL CREDIT Closed</t>
  </si>
  <si>
    <t>Personal</t>
  </si>
  <si>
    <t>MTD SALE</t>
  </si>
  <si>
    <t>MTD RECOVERY</t>
  </si>
  <si>
    <t>MTD CREDIT</t>
  </si>
  <si>
    <t>ORDERBOOKERS PROGRESS</t>
  </si>
  <si>
    <t>TOTAL EXPS</t>
  </si>
  <si>
    <t>Sami</t>
  </si>
  <si>
    <t>Ikram</t>
  </si>
  <si>
    <t>Ayoub</t>
  </si>
  <si>
    <t>Detail</t>
  </si>
  <si>
    <t>Value</t>
  </si>
  <si>
    <t>Amount</t>
  </si>
  <si>
    <t>MCB Onlines</t>
  </si>
  <si>
    <t>Opening Credit Month Of FEB 2026</t>
  </si>
  <si>
    <t>Aqib/Faiz</t>
  </si>
  <si>
    <t>Counter Sale</t>
  </si>
  <si>
    <t>PENDING</t>
  </si>
  <si>
    <t>Awais</t>
  </si>
  <si>
    <t>Ikram/Saad</t>
  </si>
  <si>
    <t>Aqib</t>
  </si>
  <si>
    <t>Saad</t>
  </si>
  <si>
    <t>Counter sale</t>
  </si>
  <si>
    <t>awais</t>
  </si>
  <si>
    <t>DSRs</t>
  </si>
  <si>
    <t>Without 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</si>
</sst>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(&quot;Rs&quot;* #,##0_);_(&quot;Rs&quot;* \(#,##0\);_(&quot;Rs&quot;* &quot;-&quot;_);_(@_)"/>
    <numFmt numFmtId="164" formatCode="[$-F800]dddd\,\ mmmm\ dd\,\ yyyy"/>
    <numFmt numFmtId="165" formatCode="&quot;Rs&quot;#,##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0"/>
      <name val="Berlin Sans FB Demi"/>
      <family val="2"/>
    </font>
    <font>
      <b/>
      <sz val="16"/>
      <color rgb="FF92D050"/>
      <name val="Calibri"/>
      <family val="2"/>
      <scheme val="minor"/>
    </font>
    <font>
      <sz val="16"/>
      <name val="Berlin Sans FB Demi"/>
      <family val="2"/>
    </font>
    <font>
      <sz val="16"/>
      <color theme="1"/>
      <name val="Berlin Sans FB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0"/>
      <name val="Berlin Sans FB Demi"/>
      <family val="2"/>
    </font>
    <font>
      <b/>
      <sz val="18"/>
      <color rgb="FFFFFF00"/>
      <name val="Calibri"/>
      <family val="2"/>
      <scheme val="minor"/>
    </font>
    <font>
      <b/>
      <sz val="18"/>
      <color rgb="FF92D050"/>
      <name val="Calibri"/>
      <family val="2"/>
      <scheme val="minor"/>
    </font>
    <font>
      <sz val="18"/>
      <name val="Berlin Sans FB Demi"/>
      <family val="2"/>
    </font>
    <font>
      <sz val="18"/>
      <color theme="1"/>
      <name val="Berlin Sans FB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0" fillId="0" borderId="0" xfId="0"/>
    <xf numFmtId="3" fontId="0" fillId="0" borderId="0" xfId="0" applyNumberFormat="1"/>
    <xf numFmtId="42" fontId="0" fillId="0" borderId="1" xfId="0" applyNumberFormat="1" applyBorder="1"/>
    <xf numFmtId="0" fontId="0" fillId="0" borderId="1" xfId="0" applyBorder="1"/>
    <xf numFmtId="0" fontId="1" fillId="4" borderId="1" xfId="0" applyFont="1" applyFill="1" applyBorder="1"/>
    <xf numFmtId="0" fontId="1" fillId="5" borderId="1" xfId="0" applyFont="1" applyFill="1" applyBorder="1"/>
    <xf numFmtId="42" fontId="1" fillId="5" borderId="1" xfId="0" applyNumberFormat="1" applyFont="1" applyFill="1" applyBorder="1"/>
    <xf numFmtId="0" fontId="1" fillId="13" borderId="1" xfId="0" applyFont="1" applyFill="1" applyBorder="1"/>
    <xf numFmtId="42" fontId="1" fillId="13" borderId="1" xfId="0" applyNumberFormat="1" applyFont="1" applyFill="1" applyBorder="1"/>
    <xf numFmtId="0" fontId="0" fillId="0" borderId="2" xfId="0" applyBorder="1"/>
    <xf numFmtId="0" fontId="1" fillId="4" borderId="2" xfId="0" applyFont="1" applyFill="1" applyBorder="1"/>
    <xf numFmtId="42" fontId="0" fillId="0" borderId="0" xfId="0" applyNumberFormat="1"/>
    <xf numFmtId="0" fontId="2" fillId="18" borderId="2" xfId="0" applyFont="1" applyFill="1" applyBorder="1"/>
    <xf numFmtId="0" fontId="0" fillId="19" borderId="2" xfId="0" applyFill="1" applyBorder="1"/>
    <xf numFmtId="0" fontId="1" fillId="19" borderId="2" xfId="0" applyFont="1" applyFill="1" applyBorder="1"/>
    <xf numFmtId="0" fontId="0" fillId="19" borderId="1" xfId="0" applyFill="1" applyBorder="1"/>
    <xf numFmtId="42" fontId="0" fillId="19" borderId="1" xfId="0" applyNumberFormat="1" applyFill="1" applyBorder="1"/>
    <xf numFmtId="165" fontId="0" fillId="0" borderId="2" xfId="0" applyNumberFormat="1" applyBorder="1" applyAlignment="1"/>
    <xf numFmtId="165" fontId="0" fillId="0" borderId="4" xfId="0" applyNumberFormat="1" applyBorder="1" applyAlignment="1"/>
    <xf numFmtId="0" fontId="0" fillId="19" borderId="2" xfId="0" applyFill="1" applyBorder="1" applyAlignment="1"/>
    <xf numFmtId="0" fontId="0" fillId="19" borderId="3" xfId="0" applyFill="1" applyBorder="1" applyAlignment="1"/>
    <xf numFmtId="0" fontId="0" fillId="19" borderId="4" xfId="0" applyFill="1" applyBorder="1" applyAlignment="1"/>
    <xf numFmtId="0" fontId="0" fillId="0" borderId="2" xfId="0" applyBorder="1" applyAlignment="1"/>
    <xf numFmtId="0" fontId="0" fillId="0" borderId="4" xfId="0" applyBorder="1" applyAlignment="1"/>
    <xf numFmtId="42" fontId="3" fillId="0" borderId="1" xfId="0" applyNumberFormat="1" applyFont="1" applyBorder="1" applyAlignment="1">
      <alignment horizontal="center" vertical="center"/>
    </xf>
    <xf numFmtId="42" fontId="4" fillId="8" borderId="1" xfId="0" applyNumberFormat="1" applyFont="1" applyFill="1" applyBorder="1" applyAlignment="1">
      <alignment vertical="center"/>
    </xf>
    <xf numFmtId="42" fontId="5" fillId="0" borderId="1" xfId="0" applyNumberFormat="1" applyFont="1" applyBorder="1" applyAlignment="1">
      <alignment horizontal="center" vertical="center"/>
    </xf>
    <xf numFmtId="42" fontId="5" fillId="15" borderId="1" xfId="0" applyNumberFormat="1" applyFont="1" applyFill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42" fontId="3" fillId="2" borderId="1" xfId="0" applyNumberFormat="1" applyFont="1" applyFill="1" applyBorder="1" applyAlignment="1">
      <alignment horizontal="center" vertical="center"/>
    </xf>
    <xf numFmtId="42" fontId="5" fillId="0" borderId="1" xfId="0" applyNumberFormat="1" applyFont="1" applyFill="1" applyBorder="1" applyAlignment="1">
      <alignment horizontal="center" vertical="center"/>
    </xf>
    <xf numFmtId="42" fontId="3" fillId="0" borderId="1" xfId="0" applyNumberFormat="1" applyFont="1" applyFill="1" applyBorder="1" applyAlignment="1">
      <alignment horizontal="center" vertical="center"/>
    </xf>
    <xf numFmtId="42" fontId="6" fillId="0" borderId="1" xfId="0" applyNumberFormat="1" applyFont="1" applyFill="1" applyBorder="1" applyAlignment="1">
      <alignment horizontal="center" vertical="center"/>
    </xf>
    <xf numFmtId="42" fontId="5" fillId="14" borderId="1" xfId="0" applyNumberFormat="1" applyFont="1" applyFill="1" applyBorder="1" applyAlignment="1">
      <alignment horizontal="center" vertical="center"/>
    </xf>
    <xf numFmtId="42" fontId="3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2" fontId="5" fillId="0" borderId="0" xfId="0" applyNumberFormat="1" applyFont="1" applyFill="1" applyBorder="1" applyAlignment="1">
      <alignment horizontal="center" vertical="center"/>
    </xf>
    <xf numFmtId="42" fontId="5" fillId="0" borderId="7" xfId="0" applyNumberFormat="1" applyFont="1" applyFill="1" applyBorder="1" applyAlignment="1">
      <alignment horizontal="center" vertical="center"/>
    </xf>
    <xf numFmtId="42" fontId="3" fillId="0" borderId="0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42" fontId="9" fillId="0" borderId="6" xfId="0" applyNumberFormat="1" applyFont="1" applyFill="1" applyBorder="1" applyAlignment="1">
      <alignment horizontal="center" vertical="center"/>
    </xf>
    <xf numFmtId="42" fontId="9" fillId="0" borderId="0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5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5" fillId="0" borderId="1" xfId="0" applyFont="1" applyFill="1" applyBorder="1"/>
    <xf numFmtId="0" fontId="3" fillId="0" borderId="1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5" fillId="0" borderId="1" xfId="0" applyFont="1" applyBorder="1"/>
    <xf numFmtId="0" fontId="10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42" fontId="4" fillId="0" borderId="0" xfId="0" applyNumberFormat="1" applyFont="1" applyFill="1" applyBorder="1"/>
    <xf numFmtId="0" fontId="5" fillId="0" borderId="0" xfId="0" applyFont="1" applyFill="1" applyBorder="1"/>
    <xf numFmtId="0" fontId="3" fillId="4" borderId="0" xfId="0" applyFont="1" applyFill="1"/>
    <xf numFmtId="42" fontId="5" fillId="0" borderId="0" xfId="0" applyNumberFormat="1" applyFont="1"/>
    <xf numFmtId="42" fontId="5" fillId="0" borderId="1" xfId="0" applyNumberFormat="1" applyFont="1" applyFill="1" applyBorder="1"/>
    <xf numFmtId="42" fontId="3" fillId="0" borderId="1" xfId="0" applyNumberFormat="1" applyFont="1" applyBorder="1"/>
    <xf numFmtId="0" fontId="3" fillId="6" borderId="1" xfId="0" applyFont="1" applyFill="1" applyBorder="1"/>
    <xf numFmtId="0" fontId="3" fillId="5" borderId="0" xfId="0" applyFont="1" applyFill="1"/>
    <xf numFmtId="42" fontId="3" fillId="5" borderId="0" xfId="0" applyNumberFormat="1" applyFont="1" applyFill="1"/>
    <xf numFmtId="42" fontId="3" fillId="0" borderId="1" xfId="0" applyNumberFormat="1" applyFont="1" applyFill="1" applyBorder="1"/>
    <xf numFmtId="42" fontId="3" fillId="0" borderId="0" xfId="0" applyNumberFormat="1" applyFont="1" applyFill="1" applyBorder="1"/>
    <xf numFmtId="0" fontId="3" fillId="3" borderId="1" xfId="0" applyFont="1" applyFill="1" applyBorder="1"/>
    <xf numFmtId="0" fontId="3" fillId="16" borderId="1" xfId="0" applyFont="1" applyFill="1" applyBorder="1"/>
    <xf numFmtId="0" fontId="3" fillId="4" borderId="1" xfId="0" applyFont="1" applyFill="1" applyBorder="1"/>
    <xf numFmtId="42" fontId="5" fillId="0" borderId="0" xfId="0" applyNumberFormat="1" applyFont="1" applyBorder="1"/>
    <xf numFmtId="0" fontId="5" fillId="0" borderId="0" xfId="0" applyFont="1" applyBorder="1"/>
    <xf numFmtId="0" fontId="3" fillId="7" borderId="1" xfId="0" applyFont="1" applyFill="1" applyBorder="1"/>
    <xf numFmtId="42" fontId="5" fillId="0" borderId="1" xfId="0" applyNumberFormat="1" applyFont="1" applyBorder="1"/>
    <xf numFmtId="0" fontId="3" fillId="13" borderId="0" xfId="0" applyFont="1" applyFill="1"/>
    <xf numFmtId="42" fontId="3" fillId="13" borderId="0" xfId="0" applyNumberFormat="1" applyFont="1" applyFill="1"/>
    <xf numFmtId="0" fontId="5" fillId="3" borderId="1" xfId="0" applyFont="1" applyFill="1" applyBorder="1" applyAlignment="1">
      <alignment horizontal="center"/>
    </xf>
    <xf numFmtId="165" fontId="5" fillId="0" borderId="1" xfId="0" applyNumberFormat="1" applyFont="1" applyBorder="1"/>
    <xf numFmtId="0" fontId="3" fillId="5" borderId="1" xfId="0" applyFont="1" applyFill="1" applyBorder="1"/>
    <xf numFmtId="165" fontId="3" fillId="5" borderId="1" xfId="0" applyNumberFormat="1" applyFont="1" applyFill="1" applyBorder="1"/>
    <xf numFmtId="165" fontId="3" fillId="4" borderId="1" xfId="0" applyNumberFormat="1" applyFont="1" applyFill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0" fontId="3" fillId="0" borderId="0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42" fontId="12" fillId="0" borderId="0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42" fontId="12" fillId="15" borderId="1" xfId="0" applyNumberFormat="1" applyFont="1" applyFill="1" applyBorder="1" applyAlignment="1">
      <alignment horizontal="center" vertical="center"/>
    </xf>
    <xf numFmtId="42" fontId="13" fillId="0" borderId="1" xfId="0" applyNumberFormat="1" applyFont="1" applyBorder="1" applyAlignment="1">
      <alignment horizontal="center" vertical="center"/>
    </xf>
    <xf numFmtId="42" fontId="15" fillId="0" borderId="1" xfId="0" applyNumberFormat="1" applyFont="1" applyBorder="1" applyAlignment="1">
      <alignment horizontal="center" vertical="center"/>
    </xf>
    <xf numFmtId="42" fontId="14" fillId="0" borderId="1" xfId="0" applyNumberFormat="1" applyFont="1" applyBorder="1" applyAlignment="1">
      <alignment horizontal="center" vertical="center"/>
    </xf>
    <xf numFmtId="42" fontId="12" fillId="0" borderId="7" xfId="0" applyNumberFormat="1" applyFont="1" applyFill="1" applyBorder="1" applyAlignment="1">
      <alignment horizontal="center" vertical="center"/>
    </xf>
    <xf numFmtId="42" fontId="13" fillId="0" borderId="0" xfId="0" applyNumberFormat="1" applyFont="1" applyFill="1" applyBorder="1" applyAlignment="1">
      <alignment horizontal="center" vertical="center"/>
    </xf>
    <xf numFmtId="42" fontId="13" fillId="2" borderId="1" xfId="0" applyNumberFormat="1" applyFont="1" applyFill="1" applyBorder="1" applyAlignment="1">
      <alignment horizontal="center" vertical="center"/>
    </xf>
    <xf numFmtId="42" fontId="12" fillId="0" borderId="1" xfId="0" applyNumberFormat="1" applyFont="1" applyFill="1" applyBorder="1" applyAlignment="1">
      <alignment horizontal="center" vertical="center"/>
    </xf>
    <xf numFmtId="42" fontId="13" fillId="0" borderId="1" xfId="0" applyNumberFormat="1" applyFont="1" applyFill="1" applyBorder="1" applyAlignment="1">
      <alignment horizontal="center" vertical="center"/>
    </xf>
    <xf numFmtId="42" fontId="15" fillId="0" borderId="1" xfId="0" applyNumberFormat="1" applyFont="1" applyFill="1" applyBorder="1" applyAlignment="1">
      <alignment horizontal="center" vertical="center"/>
    </xf>
    <xf numFmtId="42" fontId="12" fillId="14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42" fontId="13" fillId="5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42" fontId="18" fillId="0" borderId="6" xfId="0" applyNumberFormat="1" applyFont="1" applyFill="1" applyBorder="1" applyAlignment="1">
      <alignment horizontal="center" vertical="center"/>
    </xf>
    <xf numFmtId="42" fontId="18" fillId="0" borderId="0" xfId="0" applyNumberFormat="1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2" fillId="0" borderId="0" xfId="0" applyFont="1" applyFill="1"/>
    <xf numFmtId="0" fontId="13" fillId="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0" fontId="13" fillId="0" borderId="2" xfId="0" applyFont="1" applyFill="1" applyBorder="1" applyAlignment="1">
      <alignment vertical="center"/>
    </xf>
    <xf numFmtId="0" fontId="13" fillId="0" borderId="3" xfId="0" applyFont="1" applyFill="1" applyBorder="1" applyAlignment="1">
      <alignment vertical="center"/>
    </xf>
    <xf numFmtId="0" fontId="13" fillId="0" borderId="4" xfId="0" applyFont="1" applyFill="1" applyBorder="1" applyAlignment="1">
      <alignment vertical="center"/>
    </xf>
    <xf numFmtId="0" fontId="12" fillId="0" borderId="1" xfId="0" applyFont="1" applyBorder="1"/>
    <xf numFmtId="0" fontId="19" fillId="3" borderId="1" xfId="0" applyFont="1" applyFill="1" applyBorder="1" applyAlignment="1">
      <alignment horizontal="center" vertical="center"/>
    </xf>
    <xf numFmtId="0" fontId="12" fillId="0" borderId="1" xfId="0" applyFont="1" applyFill="1" applyBorder="1"/>
    <xf numFmtId="0" fontId="20" fillId="2" borderId="1" xfId="0" applyFont="1" applyFill="1" applyBorder="1" applyAlignment="1">
      <alignment horizontal="center" vertical="center"/>
    </xf>
    <xf numFmtId="42" fontId="17" fillId="8" borderId="1" xfId="0" applyNumberFormat="1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42" fontId="17" fillId="0" borderId="0" xfId="0" applyNumberFormat="1" applyFont="1" applyFill="1" applyBorder="1"/>
    <xf numFmtId="0" fontId="12" fillId="0" borderId="0" xfId="0" applyFont="1" applyFill="1" applyBorder="1"/>
    <xf numFmtId="0" fontId="13" fillId="4" borderId="0" xfId="0" applyFont="1" applyFill="1"/>
    <xf numFmtId="42" fontId="12" fillId="0" borderId="0" xfId="0" applyNumberFormat="1" applyFont="1"/>
    <xf numFmtId="42" fontId="12" fillId="0" borderId="1" xfId="0" applyNumberFormat="1" applyFont="1" applyFill="1" applyBorder="1"/>
    <xf numFmtId="42" fontId="13" fillId="0" borderId="1" xfId="0" applyNumberFormat="1" applyFont="1" applyBorder="1"/>
    <xf numFmtId="0" fontId="13" fillId="6" borderId="1" xfId="0" applyFont="1" applyFill="1" applyBorder="1"/>
    <xf numFmtId="0" fontId="13" fillId="5" borderId="0" xfId="0" applyFont="1" applyFill="1"/>
    <xf numFmtId="42" fontId="13" fillId="5" borderId="0" xfId="0" applyNumberFormat="1" applyFont="1" applyFill="1"/>
    <xf numFmtId="42" fontId="13" fillId="0" borderId="1" xfId="0" applyNumberFormat="1" applyFont="1" applyFill="1" applyBorder="1"/>
    <xf numFmtId="42" fontId="13" fillId="0" borderId="0" xfId="0" applyNumberFormat="1" applyFont="1" applyFill="1" applyBorder="1"/>
    <xf numFmtId="0" fontId="13" fillId="3" borderId="1" xfId="0" applyFont="1" applyFill="1" applyBorder="1"/>
    <xf numFmtId="0" fontId="13" fillId="16" borderId="1" xfId="0" applyFont="1" applyFill="1" applyBorder="1"/>
    <xf numFmtId="0" fontId="13" fillId="4" borderId="1" xfId="0" applyFont="1" applyFill="1" applyBorder="1"/>
    <xf numFmtId="42" fontId="12" fillId="0" borderId="0" xfId="0" applyNumberFormat="1" applyFont="1" applyBorder="1"/>
    <xf numFmtId="0" fontId="12" fillId="0" borderId="0" xfId="0" applyFont="1" applyBorder="1"/>
    <xf numFmtId="0" fontId="13" fillId="7" borderId="1" xfId="0" applyFont="1" applyFill="1" applyBorder="1"/>
    <xf numFmtId="42" fontId="12" fillId="0" borderId="1" xfId="0" applyNumberFormat="1" applyFont="1" applyBorder="1"/>
    <xf numFmtId="0" fontId="13" fillId="13" borderId="0" xfId="0" applyFont="1" applyFill="1"/>
    <xf numFmtId="42" fontId="13" fillId="13" borderId="0" xfId="0" applyNumberFormat="1" applyFont="1" applyFill="1"/>
    <xf numFmtId="0" fontId="12" fillId="3" borderId="1" xfId="0" applyFont="1" applyFill="1" applyBorder="1" applyAlignment="1">
      <alignment horizontal="center"/>
    </xf>
    <xf numFmtId="165" fontId="12" fillId="0" borderId="1" xfId="0" applyNumberFormat="1" applyFont="1" applyBorder="1"/>
    <xf numFmtId="0" fontId="13" fillId="5" borderId="1" xfId="0" applyFont="1" applyFill="1" applyBorder="1"/>
    <xf numFmtId="165" fontId="13" fillId="5" borderId="1" xfId="0" applyNumberFormat="1" applyFont="1" applyFill="1" applyBorder="1"/>
    <xf numFmtId="165" fontId="13" fillId="4" borderId="1" xfId="0" applyNumberFormat="1" applyFont="1" applyFill="1" applyBorder="1"/>
    <xf numFmtId="0" fontId="12" fillId="3" borderId="1" xfId="0" applyFont="1" applyFill="1" applyBorder="1"/>
    <xf numFmtId="165" fontId="12" fillId="3" borderId="1" xfId="0" applyNumberFormat="1" applyFont="1" applyFill="1" applyBorder="1"/>
    <xf numFmtId="0" fontId="13" fillId="0" borderId="0" xfId="0" applyFont="1" applyFill="1" applyBorder="1" applyAlignment="1">
      <alignment horizontal="center" vertical="center"/>
    </xf>
    <xf numFmtId="42" fontId="12" fillId="2" borderId="1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2" fontId="5" fillId="2" borderId="1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2" fontId="14" fillId="0" borderId="0" xfId="0" applyNumberFormat="1" applyFont="1" applyFill="1" applyBorder="1"/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5" fillId="0" borderId="2" xfId="0" applyNumberFormat="1" applyFont="1" applyFill="1" applyBorder="1" applyAlignment="1">
      <alignment horizontal="center"/>
    </xf>
    <xf numFmtId="165" fontId="5" fillId="0" borderId="4" xfId="0" applyNumberFormat="1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64" fontId="3" fillId="17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6" borderId="2" xfId="0" applyNumberFormat="1" applyFont="1" applyFill="1" applyBorder="1" applyAlignment="1">
      <alignment horizontal="center"/>
    </xf>
    <xf numFmtId="165" fontId="5" fillId="6" borderId="4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165" fontId="3" fillId="3" borderId="4" xfId="0" applyNumberFormat="1" applyFont="1" applyFill="1" applyBorder="1" applyAlignment="1">
      <alignment horizontal="center"/>
    </xf>
    <xf numFmtId="165" fontId="5" fillId="16" borderId="2" xfId="0" applyNumberFormat="1" applyFont="1" applyFill="1" applyBorder="1" applyAlignment="1">
      <alignment horizontal="center"/>
    </xf>
    <xf numFmtId="165" fontId="5" fillId="16" borderId="4" xfId="0" applyNumberFormat="1" applyFont="1" applyFill="1" applyBorder="1" applyAlignment="1">
      <alignment horizontal="center"/>
    </xf>
    <xf numFmtId="165" fontId="5" fillId="4" borderId="2" xfId="0" applyNumberFormat="1" applyFont="1" applyFill="1" applyBorder="1" applyAlignment="1">
      <alignment horizontal="center"/>
    </xf>
    <xf numFmtId="165" fontId="5" fillId="4" borderId="4" xfId="0" applyNumberFormat="1" applyFont="1" applyFill="1" applyBorder="1" applyAlignment="1">
      <alignment horizontal="center"/>
    </xf>
    <xf numFmtId="165" fontId="3" fillId="7" borderId="2" xfId="0" applyNumberFormat="1" applyFont="1" applyFill="1" applyBorder="1" applyAlignment="1">
      <alignment horizontal="center"/>
    </xf>
    <xf numFmtId="165" fontId="3" fillId="7" borderId="4" xfId="0" applyNumberFormat="1" applyFont="1" applyFill="1" applyBorder="1" applyAlignment="1">
      <alignment horizontal="center"/>
    </xf>
    <xf numFmtId="165" fontId="12" fillId="0" borderId="2" xfId="0" applyNumberFormat="1" applyFont="1" applyBorder="1" applyAlignment="1">
      <alignment horizontal="center"/>
    </xf>
    <xf numFmtId="165" fontId="12" fillId="0" borderId="4" xfId="0" applyNumberFormat="1" applyFont="1" applyBorder="1" applyAlignment="1">
      <alignment horizontal="center"/>
    </xf>
    <xf numFmtId="165" fontId="13" fillId="3" borderId="2" xfId="0" applyNumberFormat="1" applyFont="1" applyFill="1" applyBorder="1" applyAlignment="1">
      <alignment horizontal="center"/>
    </xf>
    <xf numFmtId="165" fontId="13" fillId="3" borderId="4" xfId="0" applyNumberFormat="1" applyFont="1" applyFill="1" applyBorder="1" applyAlignment="1">
      <alignment horizontal="center"/>
    </xf>
    <xf numFmtId="165" fontId="12" fillId="16" borderId="2" xfId="0" applyNumberFormat="1" applyFont="1" applyFill="1" applyBorder="1" applyAlignment="1">
      <alignment horizontal="center"/>
    </xf>
    <xf numFmtId="165" fontId="12" fillId="16" borderId="4" xfId="0" applyNumberFormat="1" applyFont="1" applyFill="1" applyBorder="1" applyAlignment="1">
      <alignment horizontal="center"/>
    </xf>
    <xf numFmtId="165" fontId="12" fillId="4" borderId="2" xfId="0" applyNumberFormat="1" applyFont="1" applyFill="1" applyBorder="1" applyAlignment="1">
      <alignment horizontal="center"/>
    </xf>
    <xf numFmtId="165" fontId="12" fillId="4" borderId="4" xfId="0" applyNumberFormat="1" applyFont="1" applyFill="1" applyBorder="1" applyAlignment="1">
      <alignment horizontal="center"/>
    </xf>
    <xf numFmtId="165" fontId="13" fillId="7" borderId="2" xfId="0" applyNumberFormat="1" applyFont="1" applyFill="1" applyBorder="1" applyAlignment="1">
      <alignment horizontal="center"/>
    </xf>
    <xf numFmtId="165" fontId="13" fillId="7" borderId="4" xfId="0" applyNumberFormat="1" applyFont="1" applyFill="1" applyBorder="1" applyAlignment="1">
      <alignment horizontal="center"/>
    </xf>
    <xf numFmtId="165" fontId="12" fillId="0" borderId="2" xfId="0" applyNumberFormat="1" applyFont="1" applyFill="1" applyBorder="1" applyAlignment="1">
      <alignment horizontal="center"/>
    </xf>
    <xf numFmtId="165" fontId="12" fillId="0" borderId="4" xfId="0" applyNumberFormat="1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164" fontId="13" fillId="17" borderId="1" xfId="0" applyNumberFormat="1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165" fontId="12" fillId="6" borderId="2" xfId="0" applyNumberFormat="1" applyFont="1" applyFill="1" applyBorder="1" applyAlignment="1">
      <alignment horizontal="center"/>
    </xf>
    <xf numFmtId="165" fontId="12" fillId="6" borderId="4" xfId="0" applyNumberFormat="1" applyFont="1" applyFill="1" applyBorder="1" applyAlignment="1">
      <alignment horizontal="center"/>
    </xf>
    <xf numFmtId="164" fontId="13" fillId="3" borderId="2" xfId="0" applyNumberFormat="1" applyFont="1" applyFill="1" applyBorder="1" applyAlignment="1">
      <alignment horizontal="center" vertical="center"/>
    </xf>
    <xf numFmtId="164" fontId="13" fillId="3" borderId="3" xfId="0" applyNumberFormat="1" applyFont="1" applyFill="1" applyBorder="1" applyAlignment="1">
      <alignment horizontal="center" vertical="center"/>
    </xf>
    <xf numFmtId="164" fontId="13" fillId="3" borderId="4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65" fontId="12" fillId="0" borderId="3" xfId="0" applyNumberFormat="1" applyFont="1" applyBorder="1" applyAlignment="1">
      <alignment horizontal="center"/>
    </xf>
    <xf numFmtId="165" fontId="13" fillId="3" borderId="3" xfId="0" applyNumberFormat="1" applyFont="1" applyFill="1" applyBorder="1" applyAlignment="1">
      <alignment horizontal="center"/>
    </xf>
    <xf numFmtId="165" fontId="12" fillId="16" borderId="3" xfId="0" applyNumberFormat="1" applyFont="1" applyFill="1" applyBorder="1" applyAlignment="1">
      <alignment horizontal="center"/>
    </xf>
    <xf numFmtId="165" fontId="12" fillId="4" borderId="3" xfId="0" applyNumberFormat="1" applyFont="1" applyFill="1" applyBorder="1" applyAlignment="1">
      <alignment horizontal="center"/>
    </xf>
    <xf numFmtId="165" fontId="13" fillId="7" borderId="3" xfId="0" applyNumberFormat="1" applyFont="1" applyFill="1" applyBorder="1" applyAlignment="1">
      <alignment horizontal="center"/>
    </xf>
    <xf numFmtId="165" fontId="12" fillId="0" borderId="3" xfId="0" applyNumberFormat="1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64" fontId="13" fillId="17" borderId="2" xfId="0" applyNumberFormat="1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165" fontId="12" fillId="6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9292"/>
      <color rgb="FFD066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43"/>
  <sheetViews>
    <sheetView topLeftCell="A4" workbookViewId="0">
      <selection activeCell="F15" sqref="F15"/>
    </sheetView>
  </sheetViews>
  <sheetFormatPr defaultRowHeight="15" x14ac:dyDescent="0.25"/>
  <cols>
    <col min="2" max="2" width="16.140625" bestFit="1" customWidth="1"/>
    <col min="3" max="3" width="16.7109375" bestFit="1" customWidth="1"/>
    <col min="4" max="4" width="16.140625" bestFit="1" customWidth="1"/>
    <col min="5" max="5" width="15.140625" bestFit="1" customWidth="1"/>
    <col min="6" max="6" width="16.140625" bestFit="1" customWidth="1"/>
    <col min="7" max="7" width="21.42578125" bestFit="1" customWidth="1"/>
    <col min="10" max="10" width="11.140625" bestFit="1" customWidth="1"/>
  </cols>
  <sheetData>
    <row r="3" spans="2:11" x14ac:dyDescent="0.25">
      <c r="B3" s="1"/>
      <c r="C3" s="1"/>
      <c r="D3" s="188" t="s">
        <v>91</v>
      </c>
      <c r="E3" s="188"/>
      <c r="F3" s="188"/>
      <c r="G3" s="1"/>
      <c r="H3" s="20" t="s">
        <v>62</v>
      </c>
      <c r="I3" s="21"/>
      <c r="J3" s="21"/>
      <c r="K3" s="22"/>
    </row>
    <row r="4" spans="2:11" x14ac:dyDescent="0.25">
      <c r="B4" s="5" t="s">
        <v>59</v>
      </c>
      <c r="C4" s="5" t="s">
        <v>60</v>
      </c>
      <c r="D4" s="5" t="s">
        <v>42</v>
      </c>
      <c r="E4" s="5" t="s">
        <v>43</v>
      </c>
      <c r="F4" s="5" t="s">
        <v>44</v>
      </c>
      <c r="G4" s="5" t="s">
        <v>77</v>
      </c>
      <c r="H4" s="189" t="s">
        <v>76</v>
      </c>
      <c r="I4" s="189"/>
      <c r="J4" s="18">
        <f>1308640</f>
        <v>1308640</v>
      </c>
      <c r="K4" s="19"/>
    </row>
    <row r="5" spans="2:11" x14ac:dyDescent="0.25">
      <c r="B5" s="10">
        <v>0</v>
      </c>
      <c r="C5" s="10">
        <v>0</v>
      </c>
      <c r="D5" s="4" t="s">
        <v>14</v>
      </c>
      <c r="E5" s="4" t="s">
        <v>15</v>
      </c>
      <c r="F5" s="3">
        <v>391828</v>
      </c>
      <c r="G5" s="3">
        <f>F5+C5+B5</f>
        <v>391828</v>
      </c>
      <c r="H5" s="190"/>
      <c r="I5" s="189"/>
      <c r="J5" s="23"/>
      <c r="K5" s="24"/>
    </row>
    <row r="6" spans="2:11" x14ac:dyDescent="0.25">
      <c r="B6" s="13">
        <v>0</v>
      </c>
      <c r="C6" s="13">
        <v>345149</v>
      </c>
      <c r="D6" s="4" t="s">
        <v>14</v>
      </c>
      <c r="E6" s="4" t="s">
        <v>17</v>
      </c>
      <c r="F6" s="3">
        <f>3301295-C6</f>
        <v>2956146</v>
      </c>
      <c r="G6" s="3">
        <f>F6+B6+C6</f>
        <v>3301295</v>
      </c>
    </row>
    <row r="7" spans="2:11" x14ac:dyDescent="0.25">
      <c r="B7" s="13">
        <v>0</v>
      </c>
      <c r="C7" s="13">
        <v>114280</v>
      </c>
      <c r="D7" s="4" t="s">
        <v>14</v>
      </c>
      <c r="E7" s="4" t="s">
        <v>18</v>
      </c>
      <c r="F7" s="3">
        <f>1178838-C7</f>
        <v>1064558</v>
      </c>
      <c r="G7" s="3">
        <f>F7+C7+B7</f>
        <v>1178838</v>
      </c>
    </row>
    <row r="8" spans="2:11" x14ac:dyDescent="0.25">
      <c r="B8" s="13">
        <v>0</v>
      </c>
      <c r="C8" s="13">
        <v>223828</v>
      </c>
      <c r="D8" s="4" t="s">
        <v>14</v>
      </c>
      <c r="E8" s="4" t="s">
        <v>19</v>
      </c>
      <c r="F8" s="3">
        <f>951862-C8</f>
        <v>728034</v>
      </c>
      <c r="G8" s="3">
        <f>F8+B8</f>
        <v>728034</v>
      </c>
    </row>
    <row r="9" spans="2:11" x14ac:dyDescent="0.25">
      <c r="B9" s="13">
        <v>0</v>
      </c>
      <c r="C9" s="13">
        <v>113776</v>
      </c>
      <c r="D9" s="4" t="s">
        <v>14</v>
      </c>
      <c r="E9" s="4" t="s">
        <v>20</v>
      </c>
      <c r="F9" s="3">
        <f>1089429-C9</f>
        <v>975653</v>
      </c>
      <c r="G9" s="3">
        <f>F9+B9</f>
        <v>975653</v>
      </c>
    </row>
    <row r="10" spans="2:11" x14ac:dyDescent="0.25">
      <c r="B10" s="13">
        <v>0</v>
      </c>
      <c r="C10" s="13">
        <v>145647</v>
      </c>
      <c r="D10" s="4" t="s">
        <v>14</v>
      </c>
      <c r="E10" s="4" t="s">
        <v>21</v>
      </c>
      <c r="F10" s="3">
        <f>625654-C10</f>
        <v>480007</v>
      </c>
      <c r="G10" s="3">
        <f>F10+C10+B10</f>
        <v>625654</v>
      </c>
    </row>
    <row r="11" spans="2:11" x14ac:dyDescent="0.25">
      <c r="B11" s="14">
        <f>SUM(B5:B10)</f>
        <v>0</v>
      </c>
      <c r="C11" s="15">
        <f>SUM(C5:C10)</f>
        <v>942680</v>
      </c>
      <c r="D11" s="6" t="s">
        <v>45</v>
      </c>
      <c r="E11" s="6"/>
      <c r="F11" s="7">
        <f>SUM(F5:F10)</f>
        <v>6596226</v>
      </c>
      <c r="G11" s="17">
        <f>SUM(G5:G10)</f>
        <v>7201302</v>
      </c>
    </row>
    <row r="12" spans="2:11" x14ac:dyDescent="0.25">
      <c r="B12" s="1"/>
      <c r="C12" s="1"/>
      <c r="D12" s="5" t="s">
        <v>42</v>
      </c>
      <c r="E12" s="5" t="s">
        <v>43</v>
      </c>
      <c r="F12" s="5" t="s">
        <v>44</v>
      </c>
      <c r="G12" s="1"/>
    </row>
    <row r="13" spans="2:11" x14ac:dyDescent="0.25">
      <c r="B13" s="1"/>
      <c r="C13" s="1"/>
      <c r="D13" s="4" t="s">
        <v>46</v>
      </c>
      <c r="E13" s="4" t="s">
        <v>48</v>
      </c>
      <c r="F13" s="3">
        <v>282651</v>
      </c>
      <c r="G13" s="1"/>
    </row>
    <row r="14" spans="2:11" x14ac:dyDescent="0.25">
      <c r="B14" s="1"/>
      <c r="C14" s="1"/>
      <c r="D14" s="4" t="s">
        <v>46</v>
      </c>
      <c r="E14" s="4" t="s">
        <v>47</v>
      </c>
      <c r="F14" s="3">
        <f>1508814-20000</f>
        <v>1488814</v>
      </c>
      <c r="G14" s="1"/>
    </row>
    <row r="15" spans="2:11" x14ac:dyDescent="0.25">
      <c r="B15" s="1"/>
      <c r="C15" s="1"/>
      <c r="D15" s="4" t="s">
        <v>46</v>
      </c>
      <c r="E15" s="4" t="s">
        <v>15</v>
      </c>
      <c r="F15" s="3">
        <v>612306</v>
      </c>
      <c r="G15" s="1"/>
    </row>
    <row r="16" spans="2:11" x14ac:dyDescent="0.25">
      <c r="B16" s="1"/>
      <c r="C16" s="1"/>
      <c r="D16" s="4" t="s">
        <v>46</v>
      </c>
      <c r="E16" s="4" t="s">
        <v>20</v>
      </c>
      <c r="F16" s="3">
        <v>8160</v>
      </c>
      <c r="G16" s="1"/>
    </row>
    <row r="17" spans="2:9" x14ac:dyDescent="0.25">
      <c r="B17" s="1"/>
      <c r="C17" s="1"/>
      <c r="D17" s="4" t="s">
        <v>27</v>
      </c>
      <c r="E17" s="4" t="s">
        <v>47</v>
      </c>
      <c r="F17" s="3">
        <v>51257</v>
      </c>
      <c r="G17" s="1"/>
      <c r="H17" s="1"/>
      <c r="I17" s="1"/>
    </row>
    <row r="18" spans="2:9" x14ac:dyDescent="0.25">
      <c r="D18" s="6" t="s">
        <v>45</v>
      </c>
      <c r="E18" s="6"/>
      <c r="F18" s="7">
        <f>SUM(F13:F17)</f>
        <v>2443188</v>
      </c>
      <c r="G18" s="1"/>
      <c r="H18" s="1"/>
      <c r="I18" s="1"/>
    </row>
    <row r="19" spans="2:9" x14ac:dyDescent="0.25">
      <c r="B19" s="11" t="s">
        <v>61</v>
      </c>
      <c r="C19" s="11" t="s">
        <v>60</v>
      </c>
      <c r="D19" s="5" t="s">
        <v>42</v>
      </c>
      <c r="E19" s="5" t="s">
        <v>43</v>
      </c>
      <c r="F19" s="5" t="s">
        <v>44</v>
      </c>
      <c r="G19" s="12"/>
      <c r="H19" s="1"/>
      <c r="I19" s="1"/>
    </row>
    <row r="20" spans="2:9" x14ac:dyDescent="0.25">
      <c r="B20" s="4"/>
      <c r="C20" s="10">
        <v>167308</v>
      </c>
      <c r="D20" s="4" t="s">
        <v>49</v>
      </c>
      <c r="E20" s="4" t="s">
        <v>51</v>
      </c>
      <c r="F20" s="3">
        <f>1560888-C20</f>
        <v>1393580</v>
      </c>
      <c r="G20" s="12"/>
      <c r="H20" s="1"/>
      <c r="I20" s="12"/>
    </row>
    <row r="21" spans="2:9" x14ac:dyDescent="0.25">
      <c r="B21" s="4"/>
      <c r="C21" s="1"/>
      <c r="D21" s="4" t="s">
        <v>49</v>
      </c>
      <c r="E21" s="4" t="s">
        <v>18</v>
      </c>
      <c r="F21" s="3">
        <v>174473</v>
      </c>
      <c r="G21" s="1"/>
      <c r="H21" s="1"/>
      <c r="I21" s="1"/>
    </row>
    <row r="22" spans="2:9" x14ac:dyDescent="0.25">
      <c r="B22" s="4"/>
      <c r="C22" s="10"/>
      <c r="D22" s="4" t="s">
        <v>49</v>
      </c>
      <c r="E22" s="4" t="s">
        <v>15</v>
      </c>
      <c r="F22" s="3">
        <v>35126</v>
      </c>
      <c r="G22" s="1"/>
      <c r="H22" s="1"/>
      <c r="I22" s="1"/>
    </row>
    <row r="23" spans="2:9" x14ac:dyDescent="0.25">
      <c r="B23" s="4"/>
      <c r="C23" s="10">
        <v>26216</v>
      </c>
      <c r="D23" s="4" t="s">
        <v>49</v>
      </c>
      <c r="E23" s="4" t="s">
        <v>50</v>
      </c>
      <c r="F23" s="3">
        <f>1479667-C23</f>
        <v>1453451</v>
      </c>
      <c r="G23" s="1"/>
      <c r="H23" s="1"/>
      <c r="I23" s="1"/>
    </row>
    <row r="24" spans="2:9" x14ac:dyDescent="0.25">
      <c r="B24" s="4"/>
      <c r="C24" s="10"/>
      <c r="D24" s="4" t="s">
        <v>49</v>
      </c>
      <c r="E24" s="4" t="s">
        <v>20</v>
      </c>
      <c r="F24" s="3">
        <f>96296-30250</f>
        <v>66046</v>
      </c>
      <c r="G24" s="1"/>
      <c r="H24" s="1"/>
      <c r="I24" s="1"/>
    </row>
    <row r="25" spans="2:9" x14ac:dyDescent="0.25">
      <c r="B25" s="4"/>
      <c r="C25" s="10">
        <v>0</v>
      </c>
      <c r="D25" s="4" t="s">
        <v>49</v>
      </c>
      <c r="E25" s="4" t="s">
        <v>47</v>
      </c>
      <c r="F25" s="3">
        <v>23570</v>
      </c>
      <c r="G25" s="2"/>
      <c r="H25" s="12"/>
      <c r="I25" s="1"/>
    </row>
    <row r="26" spans="2:9" x14ac:dyDescent="0.25">
      <c r="B26" s="16"/>
      <c r="C26" s="15">
        <f>SUM(C20:C25)</f>
        <v>193524</v>
      </c>
      <c r="D26" s="6" t="s">
        <v>45</v>
      </c>
      <c r="E26" s="6"/>
      <c r="F26" s="7">
        <f>SUM(F20:F25)</f>
        <v>3146246</v>
      </c>
      <c r="G26" s="1"/>
      <c r="H26" s="1"/>
      <c r="I26" s="1"/>
    </row>
    <row r="27" spans="2:9" x14ac:dyDescent="0.25">
      <c r="B27" s="1"/>
      <c r="C27" s="1"/>
      <c r="D27" s="5" t="s">
        <v>42</v>
      </c>
      <c r="E27" s="5" t="s">
        <v>43</v>
      </c>
      <c r="F27" s="5" t="s">
        <v>44</v>
      </c>
      <c r="G27" s="1"/>
      <c r="H27" s="1"/>
      <c r="I27" s="1"/>
    </row>
    <row r="28" spans="2:9" x14ac:dyDescent="0.25">
      <c r="B28" s="1"/>
      <c r="C28" s="1"/>
      <c r="D28" s="4" t="s">
        <v>52</v>
      </c>
      <c r="E28" s="4" t="s">
        <v>53</v>
      </c>
      <c r="F28" s="3">
        <v>33969</v>
      </c>
      <c r="G28" s="1"/>
      <c r="H28" s="1"/>
      <c r="I28" s="1"/>
    </row>
    <row r="29" spans="2:9" x14ac:dyDescent="0.25">
      <c r="B29" s="1"/>
      <c r="C29" s="1"/>
      <c r="D29" s="4" t="s">
        <v>52</v>
      </c>
      <c r="E29" s="4" t="s">
        <v>47</v>
      </c>
      <c r="F29" s="3">
        <v>160846</v>
      </c>
      <c r="G29" s="1"/>
      <c r="H29" s="1"/>
      <c r="I29" s="1"/>
    </row>
    <row r="30" spans="2:9" x14ac:dyDescent="0.25">
      <c r="B30" s="1"/>
      <c r="C30" s="1"/>
      <c r="D30" s="6" t="s">
        <v>45</v>
      </c>
      <c r="E30" s="6"/>
      <c r="F30" s="7">
        <f>SUM(F28:F29)</f>
        <v>194815</v>
      </c>
      <c r="G30" s="1"/>
      <c r="H30" s="12"/>
      <c r="I30" s="1"/>
    </row>
    <row r="31" spans="2:9" x14ac:dyDescent="0.25">
      <c r="B31" s="1"/>
      <c r="C31" s="1"/>
      <c r="D31" s="5" t="s">
        <v>42</v>
      </c>
      <c r="E31" s="5" t="s">
        <v>43</v>
      </c>
      <c r="F31" s="5" t="s">
        <v>44</v>
      </c>
      <c r="G31" s="1"/>
      <c r="H31" s="1"/>
      <c r="I31" s="1"/>
    </row>
    <row r="32" spans="2:9" x14ac:dyDescent="0.25">
      <c r="B32" s="1"/>
      <c r="C32" s="1"/>
      <c r="D32" s="4" t="s">
        <v>54</v>
      </c>
      <c r="E32" s="4" t="s">
        <v>53</v>
      </c>
      <c r="F32" s="3">
        <v>89658</v>
      </c>
      <c r="G32" s="1"/>
      <c r="H32" s="1"/>
      <c r="I32" s="1"/>
    </row>
    <row r="33" spans="3:6" x14ac:dyDescent="0.25">
      <c r="C33" s="1"/>
      <c r="D33" s="4" t="s">
        <v>54</v>
      </c>
      <c r="E33" s="4" t="s">
        <v>18</v>
      </c>
      <c r="F33" s="3">
        <f>67000-25000</f>
        <v>42000</v>
      </c>
    </row>
    <row r="34" spans="3:6" x14ac:dyDescent="0.25">
      <c r="C34" s="1"/>
      <c r="D34" s="6" t="s">
        <v>45</v>
      </c>
      <c r="E34" s="6"/>
      <c r="F34" s="7">
        <f>SUM(F32:F33)</f>
        <v>131658</v>
      </c>
    </row>
    <row r="35" spans="3:6" x14ac:dyDescent="0.25">
      <c r="C35" s="1"/>
      <c r="D35" s="5" t="s">
        <v>42</v>
      </c>
      <c r="E35" s="5" t="s">
        <v>43</v>
      </c>
      <c r="F35" s="5" t="s">
        <v>44</v>
      </c>
    </row>
    <row r="36" spans="3:6" x14ac:dyDescent="0.25">
      <c r="C36" s="1"/>
      <c r="D36" s="4" t="s">
        <v>55</v>
      </c>
      <c r="E36" s="4" t="s">
        <v>56</v>
      </c>
      <c r="F36" s="3">
        <v>103541</v>
      </c>
    </row>
    <row r="37" spans="3:6" x14ac:dyDescent="0.25">
      <c r="C37" s="1"/>
      <c r="D37" s="4" t="s">
        <v>55</v>
      </c>
      <c r="E37" s="4" t="s">
        <v>47</v>
      </c>
      <c r="F37" s="3">
        <v>6013</v>
      </c>
    </row>
    <row r="38" spans="3:6" x14ac:dyDescent="0.25">
      <c r="C38" s="1"/>
      <c r="D38" s="6" t="s">
        <v>45</v>
      </c>
      <c r="E38" s="6"/>
      <c r="F38" s="7">
        <v>109554</v>
      </c>
    </row>
    <row r="39" spans="3:6" x14ac:dyDescent="0.25">
      <c r="C39" s="1"/>
      <c r="D39" s="5" t="s">
        <v>42</v>
      </c>
      <c r="E39" s="5" t="s">
        <v>43</v>
      </c>
      <c r="F39" s="5" t="s">
        <v>44</v>
      </c>
    </row>
    <row r="40" spans="3:6" x14ac:dyDescent="0.25">
      <c r="C40" s="1"/>
      <c r="D40" s="4" t="s">
        <v>57</v>
      </c>
      <c r="E40" s="4" t="s">
        <v>47</v>
      </c>
      <c r="F40" s="3">
        <v>16440</v>
      </c>
    </row>
    <row r="41" spans="3:6" x14ac:dyDescent="0.25">
      <c r="C41" s="1"/>
      <c r="D41" s="6" t="s">
        <v>45</v>
      </c>
      <c r="E41" s="6"/>
      <c r="F41" s="7">
        <v>16440</v>
      </c>
    </row>
    <row r="42" spans="3:6" x14ac:dyDescent="0.25">
      <c r="D42" s="4"/>
      <c r="E42" s="4"/>
      <c r="F42" s="3"/>
    </row>
    <row r="43" spans="3:6" x14ac:dyDescent="0.25">
      <c r="D43" s="8" t="s">
        <v>58</v>
      </c>
      <c r="E43" s="8"/>
      <c r="F43" s="9">
        <f>F41+F38+F34+F30+F26+F18+F11+C11+B11</f>
        <v>13580807</v>
      </c>
    </row>
  </sheetData>
  <mergeCells count="3">
    <mergeCell ref="D3:F3"/>
    <mergeCell ref="H4:I4"/>
    <mergeCell ref="H5:I5"/>
  </mergeCells>
  <pageMargins left="0.7" right="0.7" top="0.75" bottom="0.75" header="0.3" footer="0.3"/>
  <ignoredErrors>
    <ignoredError sqref="G6:G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7"/>
  <sheetViews>
    <sheetView zoomScale="60" zoomScaleNormal="60" workbookViewId="0">
      <selection activeCell="F78" sqref="F78"/>
    </sheetView>
  </sheetViews>
  <sheetFormatPr defaultRowHeight="21" x14ac:dyDescent="0.35"/>
  <cols>
    <col min="1" max="1" width="5.5703125" style="42" customWidth="1"/>
    <col min="2" max="2" width="0.140625" style="42" hidden="1" customWidth="1"/>
    <col min="3" max="3" width="20.85546875" style="42" customWidth="1"/>
    <col min="4" max="4" width="25.42578125" style="42" customWidth="1"/>
    <col min="5" max="5" width="17.140625" style="42" customWidth="1"/>
    <col min="6" max="6" width="20.85546875" style="42" customWidth="1"/>
    <col min="7" max="7" width="21" style="42" customWidth="1"/>
    <col min="8" max="8" width="22.140625" style="42" bestFit="1" customWidth="1"/>
    <col min="9" max="9" width="22.85546875" style="42" bestFit="1" customWidth="1"/>
    <col min="10" max="10" width="21.42578125" style="42" customWidth="1"/>
    <col min="11" max="11" width="20.85546875" style="42" customWidth="1"/>
    <col min="12" max="12" width="21.140625" style="42" customWidth="1"/>
    <col min="13" max="13" width="26.140625" style="42" bestFit="1" customWidth="1"/>
    <col min="14" max="14" width="15.7109375" style="42" customWidth="1"/>
    <col min="15" max="15" width="22" style="42" customWidth="1"/>
    <col min="16" max="16" width="7.5703125" style="42" customWidth="1"/>
    <col min="17" max="17" width="14.28515625" style="42" bestFit="1" customWidth="1"/>
    <col min="18" max="18" width="11.42578125" style="42" customWidth="1"/>
    <col min="19" max="16384" width="9.140625" style="42"/>
  </cols>
  <sheetData>
    <row r="2" spans="1:16" x14ac:dyDescent="0.35">
      <c r="C2" s="194">
        <v>46082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6"/>
    </row>
    <row r="3" spans="1:16" x14ac:dyDescent="0.35">
      <c r="C3" s="197" t="s">
        <v>0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6" ht="84" x14ac:dyDescent="0.35">
      <c r="A4" s="92"/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  <c r="J4" s="40" t="s">
        <v>8</v>
      </c>
      <c r="K4" s="43" t="s">
        <v>9</v>
      </c>
      <c r="L4" s="43" t="s">
        <v>10</v>
      </c>
      <c r="M4" s="44" t="s">
        <v>11</v>
      </c>
      <c r="N4" s="45" t="s">
        <v>12</v>
      </c>
      <c r="O4" s="40" t="s">
        <v>13</v>
      </c>
    </row>
    <row r="5" spans="1:16" x14ac:dyDescent="0.35">
      <c r="A5" s="46"/>
      <c r="C5" s="37" t="s">
        <v>14</v>
      </c>
      <c r="D5" s="38" t="s">
        <v>15</v>
      </c>
      <c r="E5" s="39" t="s">
        <v>16</v>
      </c>
      <c r="F5" s="27">
        <v>0</v>
      </c>
      <c r="G5" s="27">
        <v>0</v>
      </c>
      <c r="H5" s="28">
        <f>F5-G5</f>
        <v>0</v>
      </c>
      <c r="I5" s="28">
        <f>H5-J5</f>
        <v>0</v>
      </c>
      <c r="J5" s="25">
        <v>0</v>
      </c>
      <c r="K5" s="29">
        <v>0</v>
      </c>
      <c r="L5" s="25">
        <v>0</v>
      </c>
      <c r="M5" s="27">
        <f>'Opening Balance FEB 2026'!F5</f>
        <v>391828</v>
      </c>
      <c r="N5" s="29">
        <v>0</v>
      </c>
      <c r="O5" s="30">
        <v>32313</v>
      </c>
      <c r="P5" s="47"/>
    </row>
    <row r="6" spans="1:16" x14ac:dyDescent="0.35">
      <c r="A6" s="46"/>
      <c r="C6" s="37" t="s">
        <v>14</v>
      </c>
      <c r="D6" s="38" t="s">
        <v>17</v>
      </c>
      <c r="E6" s="39" t="s">
        <v>86</v>
      </c>
      <c r="F6" s="27">
        <v>345159</v>
      </c>
      <c r="G6" s="27">
        <v>0</v>
      </c>
      <c r="H6" s="28">
        <f t="shared" ref="H6:H30" si="0">F6-G6</f>
        <v>345159</v>
      </c>
      <c r="I6" s="28">
        <f t="shared" ref="I6:I30" si="1">H6-J6</f>
        <v>345159</v>
      </c>
      <c r="J6" s="25">
        <v>0</v>
      </c>
      <c r="K6" s="29">
        <v>0</v>
      </c>
      <c r="L6" s="25">
        <v>0</v>
      </c>
      <c r="M6" s="27">
        <f>'Opening Balance FEB 2026'!F6</f>
        <v>2956146</v>
      </c>
      <c r="N6" s="29">
        <v>0</v>
      </c>
      <c r="O6" s="30">
        <v>0</v>
      </c>
    </row>
    <row r="7" spans="1:16" x14ac:dyDescent="0.35">
      <c r="A7" s="46"/>
      <c r="C7" s="37" t="s">
        <v>14</v>
      </c>
      <c r="D7" s="38" t="s">
        <v>18</v>
      </c>
      <c r="E7" s="93" t="s">
        <v>94</v>
      </c>
      <c r="F7" s="27">
        <v>114280</v>
      </c>
      <c r="G7" s="27">
        <v>0</v>
      </c>
      <c r="H7" s="28">
        <v>0</v>
      </c>
      <c r="I7" s="28">
        <f t="shared" si="1"/>
        <v>0</v>
      </c>
      <c r="J7" s="25">
        <v>0</v>
      </c>
      <c r="K7" s="29">
        <v>0</v>
      </c>
      <c r="L7" s="25">
        <v>0</v>
      </c>
      <c r="M7" s="27">
        <f>'Opening Balance FEB 2026'!F7</f>
        <v>1064558</v>
      </c>
      <c r="N7" s="29">
        <v>0</v>
      </c>
      <c r="O7" s="30">
        <v>51202</v>
      </c>
    </row>
    <row r="8" spans="1:16" x14ac:dyDescent="0.35">
      <c r="A8" s="46"/>
      <c r="C8" s="37" t="s">
        <v>14</v>
      </c>
      <c r="D8" s="38" t="s">
        <v>19</v>
      </c>
      <c r="E8" s="39" t="s">
        <v>86</v>
      </c>
      <c r="F8" s="27">
        <v>223828</v>
      </c>
      <c r="G8" s="27">
        <v>0</v>
      </c>
      <c r="H8" s="28">
        <f t="shared" si="0"/>
        <v>223828</v>
      </c>
      <c r="I8" s="28">
        <f t="shared" si="1"/>
        <v>210838</v>
      </c>
      <c r="J8" s="25">
        <v>12990</v>
      </c>
      <c r="K8" s="29">
        <v>0</v>
      </c>
      <c r="L8" s="25">
        <v>0</v>
      </c>
      <c r="M8" s="27">
        <f>'Opening Balance FEB 2026'!F8</f>
        <v>728034</v>
      </c>
      <c r="N8" s="29">
        <v>0</v>
      </c>
      <c r="O8" s="30">
        <v>104161</v>
      </c>
    </row>
    <row r="9" spans="1:16" x14ac:dyDescent="0.35">
      <c r="A9" s="46"/>
      <c r="C9" s="37" t="s">
        <v>14</v>
      </c>
      <c r="D9" s="38" t="s">
        <v>20</v>
      </c>
      <c r="E9" s="39" t="s">
        <v>92</v>
      </c>
      <c r="F9" s="27">
        <v>113776</v>
      </c>
      <c r="G9" s="27">
        <v>0</v>
      </c>
      <c r="H9" s="28">
        <f t="shared" si="0"/>
        <v>113776</v>
      </c>
      <c r="I9" s="28">
        <f t="shared" si="1"/>
        <v>102042</v>
      </c>
      <c r="J9" s="25">
        <v>11734</v>
      </c>
      <c r="K9" s="29">
        <v>0</v>
      </c>
      <c r="L9" s="25">
        <v>0</v>
      </c>
      <c r="M9" s="27">
        <f>'Opening Balance FEB 2026'!F9</f>
        <v>975653</v>
      </c>
      <c r="N9" s="29">
        <v>0</v>
      </c>
      <c r="O9" s="30">
        <v>19509</v>
      </c>
    </row>
    <row r="10" spans="1:16" x14ac:dyDescent="0.35">
      <c r="A10" s="46"/>
      <c r="C10" s="37" t="s">
        <v>14</v>
      </c>
      <c r="D10" s="38" t="s">
        <v>21</v>
      </c>
      <c r="E10" s="39" t="s">
        <v>92</v>
      </c>
      <c r="F10" s="27">
        <v>145647</v>
      </c>
      <c r="G10" s="27">
        <v>0</v>
      </c>
      <c r="H10" s="28">
        <f t="shared" si="0"/>
        <v>145647</v>
      </c>
      <c r="I10" s="28">
        <f t="shared" si="1"/>
        <v>15723</v>
      </c>
      <c r="J10" s="25">
        <v>129924</v>
      </c>
      <c r="K10" s="29">
        <v>0</v>
      </c>
      <c r="L10" s="25">
        <v>0</v>
      </c>
      <c r="M10" s="27">
        <f>'Opening Balance FEB 2026'!F10</f>
        <v>480007</v>
      </c>
      <c r="N10" s="29">
        <v>0</v>
      </c>
      <c r="O10" s="30">
        <v>25614</v>
      </c>
    </row>
    <row r="11" spans="1:16" x14ac:dyDescent="0.35">
      <c r="A11" s="48"/>
      <c r="C11" s="40" t="s">
        <v>22</v>
      </c>
      <c r="D11" s="40"/>
      <c r="E11" s="40"/>
      <c r="F11" s="31">
        <f t="shared" ref="F11:O11" si="2">SUM(F5:F10)</f>
        <v>942690</v>
      </c>
      <c r="G11" s="31">
        <f t="shared" si="2"/>
        <v>0</v>
      </c>
      <c r="H11" s="31">
        <f t="shared" si="2"/>
        <v>828410</v>
      </c>
      <c r="I11" s="31">
        <f t="shared" si="2"/>
        <v>673762</v>
      </c>
      <c r="J11" s="31">
        <f t="shared" si="2"/>
        <v>154648</v>
      </c>
      <c r="K11" s="31">
        <f t="shared" si="2"/>
        <v>0</v>
      </c>
      <c r="L11" s="31">
        <f t="shared" si="2"/>
        <v>0</v>
      </c>
      <c r="M11" s="31">
        <f t="shared" si="2"/>
        <v>6596226</v>
      </c>
      <c r="N11" s="31">
        <f t="shared" si="2"/>
        <v>0</v>
      </c>
      <c r="O11" s="31">
        <f t="shared" si="2"/>
        <v>232799</v>
      </c>
    </row>
    <row r="12" spans="1:16" x14ac:dyDescent="0.35">
      <c r="C12" s="37" t="s">
        <v>23</v>
      </c>
      <c r="D12" s="38" t="s">
        <v>24</v>
      </c>
      <c r="E12" s="39" t="s">
        <v>85</v>
      </c>
      <c r="F12" s="27">
        <v>74060</v>
      </c>
      <c r="G12" s="27">
        <v>2871</v>
      </c>
      <c r="H12" s="28">
        <f t="shared" si="0"/>
        <v>71189</v>
      </c>
      <c r="I12" s="28">
        <f t="shared" si="1"/>
        <v>28714</v>
      </c>
      <c r="J12" s="25">
        <v>42475</v>
      </c>
      <c r="K12" s="29">
        <v>0</v>
      </c>
      <c r="L12" s="25">
        <v>0</v>
      </c>
      <c r="M12" s="27">
        <f>'Opening Balance FEB 2026'!F13</f>
        <v>282651</v>
      </c>
      <c r="N12" s="29">
        <v>8688</v>
      </c>
      <c r="O12" s="25">
        <v>63769</v>
      </c>
    </row>
    <row r="13" spans="1:16" x14ac:dyDescent="0.35">
      <c r="C13" s="37" t="s">
        <v>23</v>
      </c>
      <c r="D13" s="38" t="s">
        <v>24</v>
      </c>
      <c r="E13" s="39" t="s">
        <v>92</v>
      </c>
      <c r="F13" s="27">
        <v>8876</v>
      </c>
      <c r="G13" s="27">
        <v>0</v>
      </c>
      <c r="H13" s="28">
        <f t="shared" si="0"/>
        <v>8876</v>
      </c>
      <c r="I13" s="28">
        <f t="shared" si="1"/>
        <v>0</v>
      </c>
      <c r="J13" s="25">
        <v>8876</v>
      </c>
      <c r="K13" s="29">
        <v>0</v>
      </c>
      <c r="L13" s="25">
        <v>0</v>
      </c>
      <c r="M13" s="27">
        <v>0</v>
      </c>
      <c r="N13" s="29">
        <v>0</v>
      </c>
      <c r="O13" s="25">
        <v>0</v>
      </c>
    </row>
    <row r="14" spans="1:16" x14ac:dyDescent="0.35">
      <c r="C14" s="37" t="s">
        <v>23</v>
      </c>
      <c r="D14" s="38" t="s">
        <v>25</v>
      </c>
      <c r="E14" s="39" t="s">
        <v>85</v>
      </c>
      <c r="F14" s="27">
        <v>138156</v>
      </c>
      <c r="G14" s="27">
        <v>16452</v>
      </c>
      <c r="H14" s="28">
        <f t="shared" si="0"/>
        <v>121704</v>
      </c>
      <c r="I14" s="28">
        <f t="shared" si="1"/>
        <v>43497</v>
      </c>
      <c r="J14" s="25">
        <v>78207</v>
      </c>
      <c r="K14" s="29">
        <v>332</v>
      </c>
      <c r="L14" s="25">
        <v>5132</v>
      </c>
      <c r="M14" s="27">
        <f>'Opening Balance FEB 2026'!F14</f>
        <v>1488814</v>
      </c>
      <c r="N14" s="29">
        <v>0</v>
      </c>
      <c r="O14" s="25">
        <v>64272</v>
      </c>
    </row>
    <row r="15" spans="1:16" x14ac:dyDescent="0.35">
      <c r="C15" s="37" t="s">
        <v>23</v>
      </c>
      <c r="D15" s="38" t="s">
        <v>26</v>
      </c>
      <c r="E15" s="39" t="s">
        <v>93</v>
      </c>
      <c r="F15" s="27">
        <v>5358</v>
      </c>
      <c r="G15" s="27">
        <v>0</v>
      </c>
      <c r="H15" s="28">
        <f t="shared" si="0"/>
        <v>5358</v>
      </c>
      <c r="I15" s="28">
        <f t="shared" si="1"/>
        <v>0</v>
      </c>
      <c r="J15" s="25">
        <v>5358</v>
      </c>
      <c r="K15" s="29">
        <v>0</v>
      </c>
      <c r="L15" s="25">
        <v>0</v>
      </c>
      <c r="M15" s="27">
        <f>'Opening Balance FEB 2026'!F15</f>
        <v>612306</v>
      </c>
      <c r="N15" s="29">
        <v>0</v>
      </c>
      <c r="O15" s="25">
        <v>70602</v>
      </c>
    </row>
    <row r="16" spans="1:16" x14ac:dyDescent="0.35">
      <c r="C16" s="37" t="s">
        <v>23</v>
      </c>
      <c r="D16" s="38" t="s">
        <v>20</v>
      </c>
      <c r="E16" s="39" t="s">
        <v>92</v>
      </c>
      <c r="F16" s="27">
        <v>22065</v>
      </c>
      <c r="G16" s="27">
        <v>0</v>
      </c>
      <c r="H16" s="28">
        <f t="shared" si="0"/>
        <v>22065</v>
      </c>
      <c r="I16" s="28">
        <f t="shared" si="1"/>
        <v>0</v>
      </c>
      <c r="J16" s="25">
        <v>22065</v>
      </c>
      <c r="K16" s="29">
        <v>0</v>
      </c>
      <c r="L16" s="25">
        <v>0</v>
      </c>
      <c r="M16" s="27">
        <f>'Opening Balance FEB 2026'!F16</f>
        <v>8160</v>
      </c>
      <c r="N16" s="29">
        <v>0</v>
      </c>
      <c r="O16" s="25">
        <v>0</v>
      </c>
    </row>
    <row r="17" spans="3:15" x14ac:dyDescent="0.35">
      <c r="C17" s="37" t="s">
        <v>23</v>
      </c>
      <c r="D17" s="38" t="s">
        <v>18</v>
      </c>
      <c r="E17" s="39" t="s">
        <v>16</v>
      </c>
      <c r="F17" s="27">
        <v>0</v>
      </c>
      <c r="G17" s="27">
        <v>0</v>
      </c>
      <c r="H17" s="28">
        <f t="shared" si="0"/>
        <v>0</v>
      </c>
      <c r="I17" s="28">
        <f t="shared" si="1"/>
        <v>0</v>
      </c>
      <c r="J17" s="25">
        <v>0</v>
      </c>
      <c r="K17" s="29">
        <v>0</v>
      </c>
      <c r="L17" s="25">
        <v>0</v>
      </c>
      <c r="M17" s="27">
        <v>0</v>
      </c>
      <c r="N17" s="29">
        <v>0</v>
      </c>
      <c r="O17" s="25">
        <v>0</v>
      </c>
    </row>
    <row r="18" spans="3:15" x14ac:dyDescent="0.35">
      <c r="C18" s="37" t="s">
        <v>23</v>
      </c>
      <c r="D18" s="40"/>
      <c r="E18" s="40"/>
      <c r="F18" s="31">
        <f>SUM(F12:F17)</f>
        <v>248515</v>
      </c>
      <c r="G18" s="31">
        <f>SUM(G12:G17)</f>
        <v>19323</v>
      </c>
      <c r="H18" s="31">
        <f>SUM(H12:H16)</f>
        <v>229192</v>
      </c>
      <c r="I18" s="31">
        <f>SUM(I12:I16)</f>
        <v>72211</v>
      </c>
      <c r="J18" s="31">
        <f>SUM(J12:J17)</f>
        <v>156981</v>
      </c>
      <c r="K18" s="31">
        <f>SUM(K12:K16)</f>
        <v>332</v>
      </c>
      <c r="L18" s="31">
        <f>SUM(L12:L16)</f>
        <v>5132</v>
      </c>
      <c r="M18" s="31">
        <f>SUM(M12:M17)</f>
        <v>2391931</v>
      </c>
      <c r="N18" s="31">
        <f>SUM(N12:N16)</f>
        <v>8688</v>
      </c>
      <c r="O18" s="31">
        <f>SUM(O12:O17)</f>
        <v>198643</v>
      </c>
    </row>
    <row r="19" spans="3:15" x14ac:dyDescent="0.35">
      <c r="C19" s="37" t="s">
        <v>27</v>
      </c>
      <c r="D19" s="38" t="s">
        <v>25</v>
      </c>
      <c r="E19" s="39" t="s">
        <v>16</v>
      </c>
      <c r="F19" s="27">
        <v>0</v>
      </c>
      <c r="G19" s="27">
        <v>0</v>
      </c>
      <c r="H19" s="28">
        <f t="shared" si="0"/>
        <v>0</v>
      </c>
      <c r="I19" s="28">
        <f t="shared" si="1"/>
        <v>0</v>
      </c>
      <c r="J19" s="25">
        <v>0</v>
      </c>
      <c r="K19" s="29">
        <v>0</v>
      </c>
      <c r="L19" s="25">
        <v>0</v>
      </c>
      <c r="M19" s="27">
        <f>'Opening Balance FEB 2026'!F17</f>
        <v>51257</v>
      </c>
      <c r="N19" s="29">
        <v>0</v>
      </c>
      <c r="O19" s="25">
        <v>0</v>
      </c>
    </row>
    <row r="20" spans="3:15" x14ac:dyDescent="0.35">
      <c r="C20" s="40"/>
      <c r="D20" s="40"/>
      <c r="E20" s="40"/>
      <c r="F20" s="31">
        <f>SUM(F19)</f>
        <v>0</v>
      </c>
      <c r="G20" s="31">
        <f t="shared" ref="G20:O20" si="3">SUM(G19)</f>
        <v>0</v>
      </c>
      <c r="H20" s="31">
        <f t="shared" si="3"/>
        <v>0</v>
      </c>
      <c r="I20" s="31">
        <f t="shared" si="3"/>
        <v>0</v>
      </c>
      <c r="J20" s="31">
        <f t="shared" si="3"/>
        <v>0</v>
      </c>
      <c r="K20" s="31">
        <f t="shared" si="3"/>
        <v>0</v>
      </c>
      <c r="L20" s="31">
        <f t="shared" si="3"/>
        <v>0</v>
      </c>
      <c r="M20" s="31">
        <f t="shared" si="3"/>
        <v>51257</v>
      </c>
      <c r="N20" s="31">
        <f t="shared" si="3"/>
        <v>0</v>
      </c>
      <c r="O20" s="31">
        <f t="shared" si="3"/>
        <v>0</v>
      </c>
    </row>
    <row r="21" spans="3:15" x14ac:dyDescent="0.35">
      <c r="C21" s="37" t="s">
        <v>28</v>
      </c>
      <c r="D21" s="38" t="s">
        <v>29</v>
      </c>
      <c r="E21" s="39" t="s">
        <v>16</v>
      </c>
      <c r="F21" s="27">
        <v>0</v>
      </c>
      <c r="G21" s="27">
        <v>0</v>
      </c>
      <c r="H21" s="28">
        <f t="shared" si="0"/>
        <v>0</v>
      </c>
      <c r="I21" s="28">
        <f t="shared" si="1"/>
        <v>0</v>
      </c>
      <c r="J21" s="25">
        <v>0</v>
      </c>
      <c r="K21" s="29">
        <v>0</v>
      </c>
      <c r="L21" s="25">
        <v>0</v>
      </c>
      <c r="M21" s="27">
        <f>'Opening Balance FEB 2026'!F28</f>
        <v>33969</v>
      </c>
      <c r="N21" s="29">
        <v>0</v>
      </c>
      <c r="O21" s="25">
        <v>0</v>
      </c>
    </row>
    <row r="22" spans="3:15" x14ac:dyDescent="0.35">
      <c r="C22" s="37" t="s">
        <v>28</v>
      </c>
      <c r="D22" s="38" t="s">
        <v>25</v>
      </c>
      <c r="E22" s="39" t="s">
        <v>16</v>
      </c>
      <c r="F22" s="27">
        <v>0</v>
      </c>
      <c r="G22" s="27">
        <v>0</v>
      </c>
      <c r="H22" s="28">
        <f t="shared" si="0"/>
        <v>0</v>
      </c>
      <c r="I22" s="28">
        <f t="shared" si="1"/>
        <v>0</v>
      </c>
      <c r="J22" s="25">
        <v>0</v>
      </c>
      <c r="K22" s="29">
        <v>0</v>
      </c>
      <c r="L22" s="25">
        <v>0</v>
      </c>
      <c r="M22" s="27">
        <f>'Opening Balance FEB 2026'!F29</f>
        <v>160846</v>
      </c>
      <c r="N22" s="29">
        <v>0</v>
      </c>
      <c r="O22" s="25">
        <v>0</v>
      </c>
    </row>
    <row r="23" spans="3:15" x14ac:dyDescent="0.35">
      <c r="C23" s="40" t="s">
        <v>22</v>
      </c>
      <c r="D23" s="40"/>
      <c r="E23" s="40"/>
      <c r="F23" s="31">
        <f t="shared" ref="F23:L23" si="4">SUM(F21:F22)</f>
        <v>0</v>
      </c>
      <c r="G23" s="31">
        <f t="shared" si="4"/>
        <v>0</v>
      </c>
      <c r="H23" s="31">
        <f t="shared" si="4"/>
        <v>0</v>
      </c>
      <c r="I23" s="31">
        <f t="shared" si="4"/>
        <v>0</v>
      </c>
      <c r="J23" s="31">
        <f t="shared" si="4"/>
        <v>0</v>
      </c>
      <c r="K23" s="31">
        <f>SUM(K21:K22)</f>
        <v>0</v>
      </c>
      <c r="L23" s="31">
        <f t="shared" si="4"/>
        <v>0</v>
      </c>
      <c r="M23" s="31">
        <f>SUM(M21:M22)</f>
        <v>194815</v>
      </c>
      <c r="N23" s="31">
        <f t="shared" ref="N23:O23" si="5">SUM(N21:N22)</f>
        <v>0</v>
      </c>
      <c r="O23" s="31">
        <f t="shared" si="5"/>
        <v>0</v>
      </c>
    </row>
    <row r="24" spans="3:15" x14ac:dyDescent="0.35">
      <c r="C24" s="37" t="s">
        <v>30</v>
      </c>
      <c r="D24" s="38" t="s">
        <v>29</v>
      </c>
      <c r="E24" s="39" t="s">
        <v>16</v>
      </c>
      <c r="F24" s="32">
        <v>0</v>
      </c>
      <c r="G24" s="32">
        <v>0</v>
      </c>
      <c r="H24" s="28">
        <f t="shared" si="0"/>
        <v>0</v>
      </c>
      <c r="I24" s="28">
        <f t="shared" si="1"/>
        <v>0</v>
      </c>
      <c r="J24" s="33">
        <v>0</v>
      </c>
      <c r="K24" s="34">
        <v>0</v>
      </c>
      <c r="L24" s="33">
        <v>0</v>
      </c>
      <c r="M24" s="32">
        <f>'Opening Balance FEB 2026'!F32</f>
        <v>89658</v>
      </c>
      <c r="N24" s="34">
        <v>0</v>
      </c>
      <c r="O24" s="33">
        <v>0</v>
      </c>
    </row>
    <row r="25" spans="3:15" x14ac:dyDescent="0.35">
      <c r="C25" s="37" t="s">
        <v>30</v>
      </c>
      <c r="D25" s="38" t="s">
        <v>31</v>
      </c>
      <c r="E25" s="39" t="s">
        <v>16</v>
      </c>
      <c r="F25" s="32">
        <v>0</v>
      </c>
      <c r="G25" s="32">
        <v>0</v>
      </c>
      <c r="H25" s="28">
        <f t="shared" si="0"/>
        <v>0</v>
      </c>
      <c r="I25" s="28">
        <f t="shared" si="1"/>
        <v>0</v>
      </c>
      <c r="J25" s="33">
        <v>0</v>
      </c>
      <c r="K25" s="34">
        <v>0</v>
      </c>
      <c r="L25" s="33">
        <v>0</v>
      </c>
      <c r="M25" s="32">
        <f>'Opening Balance FEB 2026'!F33</f>
        <v>42000</v>
      </c>
      <c r="N25" s="34">
        <v>0</v>
      </c>
      <c r="O25" s="33">
        <v>0</v>
      </c>
    </row>
    <row r="26" spans="3:15" x14ac:dyDescent="0.35">
      <c r="C26" s="40" t="s">
        <v>22</v>
      </c>
      <c r="D26" s="40"/>
      <c r="E26" s="40"/>
      <c r="F26" s="31">
        <f>SUM(F24:F25)</f>
        <v>0</v>
      </c>
      <c r="G26" s="31">
        <f t="shared" ref="G26:O26" si="6">SUM(G24:G25)</f>
        <v>0</v>
      </c>
      <c r="H26" s="31">
        <f t="shared" si="6"/>
        <v>0</v>
      </c>
      <c r="I26" s="31">
        <f t="shared" si="6"/>
        <v>0</v>
      </c>
      <c r="J26" s="31">
        <f t="shared" si="6"/>
        <v>0</v>
      </c>
      <c r="K26" s="31">
        <f t="shared" si="6"/>
        <v>0</v>
      </c>
      <c r="L26" s="31">
        <f t="shared" si="6"/>
        <v>0</v>
      </c>
      <c r="M26" s="31">
        <f t="shared" si="6"/>
        <v>131658</v>
      </c>
      <c r="N26" s="31">
        <f t="shared" si="6"/>
        <v>0</v>
      </c>
      <c r="O26" s="31">
        <f t="shared" si="6"/>
        <v>0</v>
      </c>
    </row>
    <row r="27" spans="3:15" x14ac:dyDescent="0.35">
      <c r="C27" s="37" t="s">
        <v>32</v>
      </c>
      <c r="D27" s="38" t="s">
        <v>33</v>
      </c>
      <c r="E27" s="39" t="s">
        <v>84</v>
      </c>
      <c r="F27" s="35">
        <v>167308</v>
      </c>
      <c r="G27" s="27">
        <v>0</v>
      </c>
      <c r="H27" s="28">
        <f t="shared" si="0"/>
        <v>167308</v>
      </c>
      <c r="I27" s="28">
        <f t="shared" si="1"/>
        <v>167308</v>
      </c>
      <c r="J27" s="25">
        <v>0</v>
      </c>
      <c r="K27" s="29">
        <v>0</v>
      </c>
      <c r="L27" s="25">
        <v>0</v>
      </c>
      <c r="M27" s="27">
        <f>'Opening Balance FEB 2026'!F20</f>
        <v>1393580</v>
      </c>
      <c r="N27" s="29">
        <v>0</v>
      </c>
      <c r="O27" s="25">
        <v>69025</v>
      </c>
    </row>
    <row r="28" spans="3:15" x14ac:dyDescent="0.35">
      <c r="C28" s="37" t="s">
        <v>32</v>
      </c>
      <c r="D28" s="38" t="s">
        <v>31</v>
      </c>
      <c r="E28" s="39" t="s">
        <v>16</v>
      </c>
      <c r="F28" s="35">
        <v>0</v>
      </c>
      <c r="G28" s="27">
        <v>0</v>
      </c>
      <c r="H28" s="28">
        <f t="shared" si="0"/>
        <v>0</v>
      </c>
      <c r="I28" s="28">
        <f t="shared" si="1"/>
        <v>0</v>
      </c>
      <c r="J28" s="25">
        <v>0</v>
      </c>
      <c r="K28" s="29">
        <v>0</v>
      </c>
      <c r="L28" s="25">
        <v>0</v>
      </c>
      <c r="M28" s="27">
        <f>'Opening Balance FEB 2026'!F21</f>
        <v>174473</v>
      </c>
      <c r="N28" s="29">
        <v>0</v>
      </c>
      <c r="O28" s="25">
        <v>0</v>
      </c>
    </row>
    <row r="29" spans="3:15" x14ac:dyDescent="0.35">
      <c r="C29" s="37" t="s">
        <v>32</v>
      </c>
      <c r="D29" s="38" t="s">
        <v>26</v>
      </c>
      <c r="E29" s="39" t="s">
        <v>16</v>
      </c>
      <c r="F29" s="35">
        <v>0</v>
      </c>
      <c r="G29" s="27">
        <v>0</v>
      </c>
      <c r="H29" s="28">
        <f t="shared" si="0"/>
        <v>0</v>
      </c>
      <c r="I29" s="28">
        <f t="shared" si="1"/>
        <v>0</v>
      </c>
      <c r="J29" s="25">
        <v>0</v>
      </c>
      <c r="K29" s="29">
        <v>0</v>
      </c>
      <c r="L29" s="25">
        <v>0</v>
      </c>
      <c r="M29" s="27">
        <f>'Opening Balance FEB 2026'!F22</f>
        <v>35126</v>
      </c>
      <c r="N29" s="29">
        <v>0</v>
      </c>
      <c r="O29" s="25">
        <v>0</v>
      </c>
    </row>
    <row r="30" spans="3:15" x14ac:dyDescent="0.35">
      <c r="C30" s="37" t="s">
        <v>32</v>
      </c>
      <c r="D30" s="38" t="s">
        <v>34</v>
      </c>
      <c r="E30" s="39" t="s">
        <v>85</v>
      </c>
      <c r="F30" s="35">
        <v>26216</v>
      </c>
      <c r="G30" s="27">
        <v>0</v>
      </c>
      <c r="H30" s="28">
        <f t="shared" si="0"/>
        <v>26216</v>
      </c>
      <c r="I30" s="28">
        <f t="shared" si="1"/>
        <v>24825</v>
      </c>
      <c r="J30" s="25">
        <v>1391</v>
      </c>
      <c r="K30" s="29">
        <v>0</v>
      </c>
      <c r="L30" s="25">
        <v>0</v>
      </c>
      <c r="M30" s="27">
        <f>'Opening Balance FEB 2026'!F23</f>
        <v>1453451</v>
      </c>
      <c r="N30" s="29">
        <v>2208</v>
      </c>
      <c r="O30" s="25">
        <v>55906</v>
      </c>
    </row>
    <row r="31" spans="3:15" x14ac:dyDescent="0.35">
      <c r="C31" s="40" t="s">
        <v>22</v>
      </c>
      <c r="D31" s="40"/>
      <c r="E31" s="40"/>
      <c r="F31" s="31">
        <f t="shared" ref="F31:O31" si="7">SUM(F27:F30)</f>
        <v>193524</v>
      </c>
      <c r="G31" s="31">
        <f t="shared" si="7"/>
        <v>0</v>
      </c>
      <c r="H31" s="31">
        <f t="shared" si="7"/>
        <v>193524</v>
      </c>
      <c r="I31" s="31">
        <f t="shared" si="7"/>
        <v>192133</v>
      </c>
      <c r="J31" s="31">
        <f t="shared" si="7"/>
        <v>1391</v>
      </c>
      <c r="K31" s="31">
        <f t="shared" si="7"/>
        <v>0</v>
      </c>
      <c r="L31" s="31">
        <f t="shared" si="7"/>
        <v>0</v>
      </c>
      <c r="M31" s="31">
        <f t="shared" si="7"/>
        <v>3056630</v>
      </c>
      <c r="N31" s="31">
        <f t="shared" si="7"/>
        <v>2208</v>
      </c>
      <c r="O31" s="31">
        <f t="shared" si="7"/>
        <v>124931</v>
      </c>
    </row>
    <row r="32" spans="3:15" x14ac:dyDescent="0.35">
      <c r="C32" s="41" t="s">
        <v>35</v>
      </c>
      <c r="D32" s="41"/>
      <c r="E32" s="41"/>
      <c r="F32" s="36">
        <f t="shared" ref="F32:O32" si="8">F31+F26+F23+F20+F18+F11</f>
        <v>1384729</v>
      </c>
      <c r="G32" s="36">
        <f t="shared" si="8"/>
        <v>19323</v>
      </c>
      <c r="H32" s="36">
        <f t="shared" si="8"/>
        <v>1251126</v>
      </c>
      <c r="I32" s="36">
        <f t="shared" si="8"/>
        <v>938106</v>
      </c>
      <c r="J32" s="36">
        <f t="shared" si="8"/>
        <v>313020</v>
      </c>
      <c r="K32" s="36">
        <f t="shared" si="8"/>
        <v>332</v>
      </c>
      <c r="L32" s="36">
        <f t="shared" si="8"/>
        <v>5132</v>
      </c>
      <c r="M32" s="36">
        <f t="shared" si="8"/>
        <v>12422517</v>
      </c>
      <c r="N32" s="36">
        <f t="shared" si="8"/>
        <v>10896</v>
      </c>
      <c r="O32" s="36">
        <f t="shared" si="8"/>
        <v>556373</v>
      </c>
    </row>
    <row r="33" spans="3:15" x14ac:dyDescent="0.35">
      <c r="F33" s="49" t="s">
        <v>36</v>
      </c>
      <c r="G33" s="25">
        <f>O11+L11+J11-K11</f>
        <v>387447</v>
      </c>
      <c r="H33" s="200"/>
      <c r="I33" s="201"/>
      <c r="J33" s="50"/>
      <c r="K33" s="51"/>
      <c r="L33" s="51"/>
    </row>
    <row r="34" spans="3:15" x14ac:dyDescent="0.35">
      <c r="F34" s="52" t="s">
        <v>37</v>
      </c>
      <c r="G34" s="25">
        <f>O18+L18+J18-K18+O20+L20+J20-K20</f>
        <v>360424</v>
      </c>
      <c r="H34" s="53"/>
      <c r="I34" s="54" t="s">
        <v>89</v>
      </c>
      <c r="J34" s="54" t="s">
        <v>90</v>
      </c>
      <c r="K34" s="192" t="s">
        <v>88</v>
      </c>
      <c r="L34" s="193"/>
      <c r="M34" s="202" t="s">
        <v>87</v>
      </c>
      <c r="N34" s="203"/>
      <c r="O34" s="204"/>
    </row>
    <row r="35" spans="3:15" x14ac:dyDescent="0.35">
      <c r="C35" s="205" t="s">
        <v>68</v>
      </c>
      <c r="D35" s="206"/>
      <c r="F35" s="55" t="s">
        <v>38</v>
      </c>
      <c r="G35" s="25">
        <f>O23+L23+J23-K23</f>
        <v>0</v>
      </c>
      <c r="H35" s="53"/>
      <c r="I35" s="54"/>
      <c r="J35" s="57"/>
      <c r="K35" s="192"/>
      <c r="L35" s="193"/>
      <c r="M35" s="59"/>
      <c r="N35" s="58"/>
      <c r="O35" s="60"/>
    </row>
    <row r="36" spans="3:15" x14ac:dyDescent="0.35">
      <c r="C36" s="61"/>
      <c r="D36" s="61"/>
      <c r="F36" s="62" t="s">
        <v>30</v>
      </c>
      <c r="G36" s="25">
        <f>O26+L26+J26-K26</f>
        <v>0</v>
      </c>
      <c r="H36" s="53"/>
      <c r="I36" s="56"/>
      <c r="J36" s="57"/>
      <c r="K36" s="192"/>
      <c r="L36" s="193"/>
      <c r="M36" s="59"/>
      <c r="N36" s="58"/>
      <c r="O36" s="60"/>
    </row>
    <row r="37" spans="3:15" x14ac:dyDescent="0.35">
      <c r="C37" s="61"/>
      <c r="D37" s="61"/>
      <c r="F37" s="49" t="s">
        <v>39</v>
      </c>
      <c r="G37" s="25">
        <f>O31+L31+J31-K31</f>
        <v>126322</v>
      </c>
      <c r="H37" s="53"/>
      <c r="I37" s="56"/>
      <c r="J37" s="57"/>
      <c r="K37" s="192"/>
      <c r="L37" s="193"/>
      <c r="M37" s="59"/>
      <c r="N37" s="58"/>
      <c r="O37" s="60"/>
    </row>
    <row r="38" spans="3:15" x14ac:dyDescent="0.35">
      <c r="C38" s="61"/>
      <c r="D38" s="61"/>
      <c r="F38" s="63" t="s">
        <v>40</v>
      </c>
      <c r="G38" s="26">
        <f>SUM(G33:G37)</f>
        <v>874193</v>
      </c>
      <c r="I38" s="61"/>
      <c r="J38" s="57"/>
      <c r="K38" s="192"/>
      <c r="L38" s="193"/>
      <c r="M38" s="59"/>
      <c r="N38" s="58"/>
      <c r="O38" s="60"/>
    </row>
    <row r="39" spans="3:15" x14ac:dyDescent="0.35">
      <c r="C39" s="61"/>
      <c r="D39" s="61"/>
      <c r="F39" s="64"/>
      <c r="G39" s="65"/>
      <c r="I39" s="61"/>
      <c r="J39" s="57"/>
      <c r="K39" s="192"/>
      <c r="L39" s="193"/>
      <c r="M39" s="59"/>
      <c r="N39" s="58"/>
      <c r="O39" s="60"/>
    </row>
    <row r="40" spans="3:15" x14ac:dyDescent="0.35">
      <c r="C40" s="61"/>
      <c r="D40" s="61"/>
      <c r="F40" s="64"/>
      <c r="G40" s="65"/>
      <c r="I40" s="61"/>
      <c r="J40" s="57"/>
      <c r="K40" s="58"/>
      <c r="L40" s="58"/>
      <c r="M40" s="59"/>
      <c r="N40" s="58"/>
      <c r="O40" s="60"/>
    </row>
    <row r="41" spans="3:15" x14ac:dyDescent="0.35">
      <c r="C41" s="61"/>
      <c r="D41" s="61"/>
      <c r="F41" s="64"/>
      <c r="G41" s="65"/>
      <c r="I41" s="61"/>
      <c r="J41" s="57"/>
      <c r="K41" s="58"/>
      <c r="L41" s="58"/>
      <c r="M41" s="59"/>
      <c r="N41" s="58"/>
      <c r="O41" s="60"/>
    </row>
    <row r="42" spans="3:15" x14ac:dyDescent="0.35">
      <c r="C42" s="61"/>
      <c r="D42" s="61"/>
      <c r="F42" s="64"/>
      <c r="G42" s="65"/>
      <c r="I42" s="61"/>
      <c r="J42" s="57"/>
      <c r="K42" s="58"/>
      <c r="L42" s="58"/>
      <c r="M42" s="59"/>
      <c r="N42" s="58"/>
      <c r="O42" s="60"/>
    </row>
    <row r="43" spans="3:15" x14ac:dyDescent="0.35">
      <c r="C43" s="61"/>
      <c r="D43" s="61"/>
      <c r="F43" s="64"/>
      <c r="G43" s="65"/>
      <c r="I43" s="61"/>
      <c r="J43" s="57"/>
      <c r="K43" s="191"/>
      <c r="L43" s="193"/>
      <c r="M43" s="191"/>
      <c r="N43" s="192"/>
      <c r="O43" s="193"/>
    </row>
    <row r="44" spans="3:15" x14ac:dyDescent="0.35">
      <c r="C44" s="61"/>
      <c r="D44" s="61"/>
      <c r="F44" s="64"/>
      <c r="G44" s="65"/>
      <c r="I44" s="61"/>
      <c r="J44" s="54"/>
      <c r="K44" s="191"/>
      <c r="L44" s="193"/>
      <c r="M44" s="191"/>
      <c r="N44" s="192"/>
      <c r="O44" s="193"/>
    </row>
    <row r="45" spans="3:15" x14ac:dyDescent="0.35">
      <c r="C45" s="61"/>
      <c r="D45" s="61"/>
      <c r="F45" s="64"/>
      <c r="G45" s="65"/>
      <c r="I45" s="61"/>
      <c r="J45" s="54"/>
      <c r="K45" s="191"/>
      <c r="L45" s="193"/>
      <c r="M45" s="191"/>
      <c r="N45" s="192"/>
      <c r="O45" s="193"/>
    </row>
    <row r="46" spans="3:15" x14ac:dyDescent="0.35">
      <c r="C46" s="61"/>
      <c r="D46" s="61"/>
      <c r="F46" s="64"/>
      <c r="G46" s="65"/>
      <c r="I46" s="61"/>
      <c r="J46" s="54"/>
      <c r="K46" s="191"/>
      <c r="L46" s="193"/>
      <c r="M46" s="191"/>
      <c r="N46" s="192"/>
      <c r="O46" s="193"/>
    </row>
    <row r="47" spans="3:15" x14ac:dyDescent="0.35">
      <c r="C47" s="61"/>
      <c r="D47" s="61"/>
      <c r="F47" s="64"/>
      <c r="G47" s="65"/>
      <c r="I47" s="61"/>
      <c r="J47" s="54"/>
      <c r="K47" s="191"/>
      <c r="L47" s="193"/>
      <c r="M47" s="191"/>
      <c r="N47" s="192"/>
      <c r="O47" s="193"/>
    </row>
    <row r="48" spans="3:15" x14ac:dyDescent="0.35">
      <c r="H48" s="209" t="s">
        <v>41</v>
      </c>
      <c r="I48" s="209"/>
      <c r="J48" s="209"/>
      <c r="K48" s="210"/>
      <c r="L48" s="46"/>
      <c r="M48" s="66"/>
    </row>
    <row r="49" spans="3:14" x14ac:dyDescent="0.35">
      <c r="H49" s="67" t="s">
        <v>42</v>
      </c>
      <c r="I49" s="67" t="s">
        <v>43</v>
      </c>
      <c r="J49" s="67" t="s">
        <v>44</v>
      </c>
      <c r="K49" s="210"/>
      <c r="L49" s="66"/>
    </row>
    <row r="50" spans="3:14" x14ac:dyDescent="0.35">
      <c r="F50" s="68"/>
      <c r="H50" s="42" t="s">
        <v>14</v>
      </c>
      <c r="I50" s="42" t="s">
        <v>15</v>
      </c>
      <c r="J50" s="68">
        <f>M5-O5-N5-L5+I5</f>
        <v>359515</v>
      </c>
      <c r="K50" s="69">
        <v>359515</v>
      </c>
      <c r="L50" s="70">
        <f>J50-K50</f>
        <v>0</v>
      </c>
      <c r="M50" s="68"/>
    </row>
    <row r="51" spans="3:14" x14ac:dyDescent="0.35">
      <c r="C51" s="211">
        <v>45931</v>
      </c>
      <c r="D51" s="211"/>
      <c r="E51" s="211"/>
      <c r="H51" s="42" t="s">
        <v>14</v>
      </c>
      <c r="I51" s="42" t="s">
        <v>17</v>
      </c>
      <c r="J51" s="68">
        <f>M6-O6-N6-L6+I6+G51</f>
        <v>3301305</v>
      </c>
      <c r="K51" s="69">
        <v>3301305</v>
      </c>
      <c r="L51" s="70">
        <f t="shared" ref="L51:L62" si="9">J51-K51</f>
        <v>0</v>
      </c>
      <c r="M51" s="68"/>
    </row>
    <row r="52" spans="3:14" x14ac:dyDescent="0.35">
      <c r="C52" s="212" t="s">
        <v>63</v>
      </c>
      <c r="D52" s="212"/>
      <c r="E52" s="212"/>
      <c r="H52" s="42" t="s">
        <v>14</v>
      </c>
      <c r="I52" s="42" t="s">
        <v>18</v>
      </c>
      <c r="J52" s="68">
        <f>M7-O7-N7-L7+I7+G52</f>
        <v>1013356</v>
      </c>
      <c r="K52" s="69">
        <v>1013356</v>
      </c>
      <c r="L52" s="70">
        <f t="shared" si="9"/>
        <v>0</v>
      </c>
    </row>
    <row r="53" spans="3:14" x14ac:dyDescent="0.35">
      <c r="C53" s="61" t="s">
        <v>64</v>
      </c>
      <c r="D53" s="213">
        <f>'Opening Balance FEB 2026'!J4</f>
        <v>1308640</v>
      </c>
      <c r="E53" s="214"/>
      <c r="H53" s="42" t="s">
        <v>14</v>
      </c>
      <c r="I53" s="42" t="s">
        <v>19</v>
      </c>
      <c r="J53" s="68">
        <f>M8-O8-N8-L8+I8+G53</f>
        <v>834711</v>
      </c>
      <c r="K53" s="69">
        <v>834711</v>
      </c>
      <c r="L53" s="70">
        <f t="shared" si="9"/>
        <v>0</v>
      </c>
    </row>
    <row r="54" spans="3:14" x14ac:dyDescent="0.35">
      <c r="C54" s="61" t="s">
        <v>65</v>
      </c>
      <c r="D54" s="213">
        <f>G38</f>
        <v>874193</v>
      </c>
      <c r="E54" s="214"/>
      <c r="H54" s="42" t="s">
        <v>14</v>
      </c>
      <c r="I54" s="42" t="s">
        <v>20</v>
      </c>
      <c r="J54" s="68">
        <f>M9-O9-N9-L9+I9+G54</f>
        <v>1058186</v>
      </c>
      <c r="K54" s="69">
        <v>1058186</v>
      </c>
      <c r="L54" s="70">
        <f t="shared" si="9"/>
        <v>0</v>
      </c>
    </row>
    <row r="55" spans="3:14" x14ac:dyDescent="0.35">
      <c r="C55" s="71" t="s">
        <v>45</v>
      </c>
      <c r="D55" s="215">
        <f>D53+D54</f>
        <v>2182833</v>
      </c>
      <c r="E55" s="216"/>
      <c r="H55" s="42" t="s">
        <v>14</v>
      </c>
      <c r="I55" s="42" t="s">
        <v>21</v>
      </c>
      <c r="J55" s="68">
        <f>M10-O10-N10-L10+I10+G55</f>
        <v>470116</v>
      </c>
      <c r="K55" s="69">
        <v>470116</v>
      </c>
      <c r="L55" s="70">
        <f t="shared" si="9"/>
        <v>0</v>
      </c>
    </row>
    <row r="56" spans="3:14" x14ac:dyDescent="0.35">
      <c r="C56" s="61" t="s">
        <v>66</v>
      </c>
      <c r="D56" s="207">
        <v>0</v>
      </c>
      <c r="E56" s="208"/>
      <c r="H56" s="72" t="s">
        <v>45</v>
      </c>
      <c r="I56" s="72"/>
      <c r="J56" s="73">
        <f>SUM(J50:J55)</f>
        <v>7037189</v>
      </c>
      <c r="K56" s="74">
        <v>7037189</v>
      </c>
      <c r="L56" s="70">
        <f t="shared" si="9"/>
        <v>0</v>
      </c>
    </row>
    <row r="57" spans="3:14" x14ac:dyDescent="0.35">
      <c r="C57" s="61" t="s">
        <v>78</v>
      </c>
      <c r="D57" s="207">
        <v>0</v>
      </c>
      <c r="E57" s="208"/>
      <c r="H57" s="72"/>
      <c r="I57" s="72"/>
      <c r="J57" s="73"/>
      <c r="K57" s="75"/>
      <c r="L57" s="70"/>
    </row>
    <row r="58" spans="3:14" x14ac:dyDescent="0.35">
      <c r="C58" s="61" t="s">
        <v>75</v>
      </c>
      <c r="D58" s="207">
        <v>10000</v>
      </c>
      <c r="E58" s="208"/>
      <c r="H58" s="67" t="s">
        <v>42</v>
      </c>
      <c r="I58" s="67" t="s">
        <v>43</v>
      </c>
      <c r="J58" s="67" t="s">
        <v>44</v>
      </c>
      <c r="K58" s="66"/>
      <c r="L58" s="70"/>
    </row>
    <row r="59" spans="3:14" x14ac:dyDescent="0.35">
      <c r="C59" s="76" t="s">
        <v>83</v>
      </c>
      <c r="D59" s="217">
        <f>SUM(D56:E58)</f>
        <v>10000</v>
      </c>
      <c r="E59" s="218"/>
      <c r="H59" s="42" t="s">
        <v>46</v>
      </c>
      <c r="I59" s="42" t="s">
        <v>48</v>
      </c>
      <c r="J59" s="68">
        <f>M12-O12-N12-L12+I12</f>
        <v>238908</v>
      </c>
      <c r="K59" s="69">
        <v>282651</v>
      </c>
      <c r="L59" s="70">
        <f t="shared" si="9"/>
        <v>-43743</v>
      </c>
    </row>
    <row r="60" spans="3:14" x14ac:dyDescent="0.35">
      <c r="C60" s="77" t="s">
        <v>67</v>
      </c>
      <c r="D60" s="219">
        <f>D55-D56-D58-D57</f>
        <v>2172833</v>
      </c>
      <c r="E60" s="220"/>
      <c r="H60" s="42" t="s">
        <v>46</v>
      </c>
      <c r="I60" s="42" t="s">
        <v>47</v>
      </c>
      <c r="J60" s="68">
        <f>M14-O14-N14-L14+I14</f>
        <v>1462907</v>
      </c>
      <c r="K60" s="69">
        <v>1508814</v>
      </c>
      <c r="L60" s="70">
        <f t="shared" si="9"/>
        <v>-45907</v>
      </c>
      <c r="N60" s="68"/>
    </row>
    <row r="61" spans="3:14" x14ac:dyDescent="0.35">
      <c r="C61" s="78" t="s">
        <v>68</v>
      </c>
      <c r="D61" s="221"/>
      <c r="E61" s="222"/>
      <c r="H61" s="42" t="s">
        <v>46</v>
      </c>
      <c r="I61" s="42" t="s">
        <v>15</v>
      </c>
      <c r="J61" s="68">
        <f>M15-O15-N15-L15+I15</f>
        <v>541704</v>
      </c>
      <c r="K61" s="69">
        <v>612306</v>
      </c>
      <c r="L61" s="70">
        <f t="shared" si="9"/>
        <v>-70602</v>
      </c>
      <c r="M61" s="68"/>
      <c r="N61" s="68"/>
    </row>
    <row r="62" spans="3:14" x14ac:dyDescent="0.35">
      <c r="C62" s="61" t="s">
        <v>14</v>
      </c>
      <c r="D62" s="213">
        <v>0</v>
      </c>
      <c r="E62" s="214"/>
      <c r="H62" s="42" t="s">
        <v>46</v>
      </c>
      <c r="I62" s="42" t="s">
        <v>20</v>
      </c>
      <c r="J62" s="68">
        <v>8160</v>
      </c>
      <c r="K62" s="69">
        <v>8160</v>
      </c>
      <c r="L62" s="70">
        <f t="shared" si="9"/>
        <v>0</v>
      </c>
    </row>
    <row r="63" spans="3:14" x14ac:dyDescent="0.35">
      <c r="C63" s="61" t="s">
        <v>72</v>
      </c>
      <c r="D63" s="213">
        <v>0</v>
      </c>
      <c r="E63" s="214"/>
      <c r="H63" s="42" t="s">
        <v>27</v>
      </c>
      <c r="I63" s="42" t="s">
        <v>47</v>
      </c>
      <c r="J63" s="68">
        <f>M19-O19-N19-L19+I19</f>
        <v>51257</v>
      </c>
      <c r="K63" s="69">
        <v>51257</v>
      </c>
      <c r="L63" s="70">
        <f>J63-K63</f>
        <v>0</v>
      </c>
    </row>
    <row r="64" spans="3:14" x14ac:dyDescent="0.35">
      <c r="C64" s="61" t="s">
        <v>69</v>
      </c>
      <c r="D64" s="213">
        <v>0</v>
      </c>
      <c r="E64" s="214"/>
      <c r="H64" s="72" t="s">
        <v>45</v>
      </c>
      <c r="I64" s="72"/>
      <c r="J64" s="73">
        <f>SUM(J59:J63)</f>
        <v>2302936</v>
      </c>
      <c r="K64" s="69">
        <f>SUM(K59:K63)</f>
        <v>2463188</v>
      </c>
      <c r="L64" s="70">
        <f>J64-K64</f>
        <v>-160252</v>
      </c>
    </row>
    <row r="65" spans="3:14" x14ac:dyDescent="0.35">
      <c r="C65" s="61" t="s">
        <v>70</v>
      </c>
      <c r="D65" s="213">
        <v>0</v>
      </c>
      <c r="E65" s="214"/>
      <c r="F65" s="68"/>
      <c r="H65" s="67" t="s">
        <v>42</v>
      </c>
      <c r="I65" s="67" t="s">
        <v>43</v>
      </c>
      <c r="J65" s="67" t="s">
        <v>44</v>
      </c>
    </row>
    <row r="66" spans="3:14" x14ac:dyDescent="0.35">
      <c r="C66" s="61" t="s">
        <v>71</v>
      </c>
      <c r="D66" s="213">
        <v>0</v>
      </c>
      <c r="E66" s="214"/>
      <c r="F66" s="79"/>
      <c r="G66" s="80"/>
      <c r="H66" s="42" t="s">
        <v>49</v>
      </c>
      <c r="I66" s="42" t="s">
        <v>51</v>
      </c>
      <c r="J66" s="68">
        <f>M27-O27-N27-L27+I27+G66</f>
        <v>1491863</v>
      </c>
      <c r="K66" s="69">
        <v>1380437</v>
      </c>
      <c r="L66" s="70">
        <f t="shared" ref="L66:L72" si="10">J66-K66</f>
        <v>111426</v>
      </c>
      <c r="N66" s="68"/>
    </row>
    <row r="67" spans="3:14" x14ac:dyDescent="0.35">
      <c r="C67" s="77" t="s">
        <v>73</v>
      </c>
      <c r="D67" s="219">
        <f>SUM(D62:D66)</f>
        <v>0</v>
      </c>
      <c r="E67" s="220"/>
      <c r="F67" s="68"/>
      <c r="H67" s="42" t="s">
        <v>49</v>
      </c>
      <c r="I67" s="42" t="s">
        <v>18</v>
      </c>
      <c r="J67" s="68">
        <f>M28-O28-N28-L28+I28</f>
        <v>174473</v>
      </c>
      <c r="K67" s="69">
        <v>174473</v>
      </c>
      <c r="L67" s="70">
        <f t="shared" si="10"/>
        <v>0</v>
      </c>
    </row>
    <row r="68" spans="3:14" x14ac:dyDescent="0.35">
      <c r="C68" s="81" t="s">
        <v>74</v>
      </c>
      <c r="D68" s="223">
        <f>D60-D67</f>
        <v>2172833</v>
      </c>
      <c r="E68" s="224"/>
      <c r="F68" s="68"/>
      <c r="H68" s="42" t="s">
        <v>49</v>
      </c>
      <c r="I68" s="42" t="s">
        <v>15</v>
      </c>
      <c r="J68" s="68">
        <f>M29-O29-N29-L29+I29</f>
        <v>35126</v>
      </c>
      <c r="K68" s="69">
        <v>35126</v>
      </c>
      <c r="L68" s="70">
        <f t="shared" si="10"/>
        <v>0</v>
      </c>
    </row>
    <row r="69" spans="3:14" x14ac:dyDescent="0.35">
      <c r="C69" s="61"/>
      <c r="D69" s="213">
        <v>3102990</v>
      </c>
      <c r="E69" s="214"/>
      <c r="H69" s="42" t="s">
        <v>49</v>
      </c>
      <c r="I69" s="42" t="s">
        <v>50</v>
      </c>
      <c r="J69" s="68">
        <f>M30-O30-N30-L30+I30+G69</f>
        <v>1420162</v>
      </c>
      <c r="K69" s="69">
        <v>1281692</v>
      </c>
      <c r="L69" s="70">
        <f t="shared" si="10"/>
        <v>138470</v>
      </c>
    </row>
    <row r="70" spans="3:14" x14ac:dyDescent="0.35">
      <c r="C70" s="61"/>
      <c r="D70" s="213">
        <f>D68-D69</f>
        <v>-930157</v>
      </c>
      <c r="E70" s="214"/>
      <c r="H70" s="42" t="s">
        <v>49</v>
      </c>
      <c r="I70" s="42" t="s">
        <v>20</v>
      </c>
      <c r="J70" s="68">
        <f>'Opening Balance FEB 2026'!F24</f>
        <v>66046</v>
      </c>
      <c r="K70" s="69">
        <v>96296</v>
      </c>
      <c r="L70" s="70">
        <f t="shared" si="10"/>
        <v>-30250</v>
      </c>
    </row>
    <row r="71" spans="3:14" x14ac:dyDescent="0.35">
      <c r="H71" s="42" t="s">
        <v>49</v>
      </c>
      <c r="I71" s="42" t="s">
        <v>47</v>
      </c>
      <c r="J71" s="68">
        <f>'Opening Balance FEB 2026'!F25</f>
        <v>23570</v>
      </c>
      <c r="K71" s="69">
        <v>23570</v>
      </c>
      <c r="L71" s="70">
        <f t="shared" si="10"/>
        <v>0</v>
      </c>
    </row>
    <row r="72" spans="3:14" x14ac:dyDescent="0.35">
      <c r="H72" s="72" t="s">
        <v>45</v>
      </c>
      <c r="I72" s="72"/>
      <c r="J72" s="73">
        <f>SUM(J66:J71)</f>
        <v>3211240</v>
      </c>
      <c r="K72" s="69">
        <v>3236490</v>
      </c>
      <c r="L72" s="70">
        <f t="shared" si="10"/>
        <v>-25250</v>
      </c>
      <c r="N72" s="68"/>
    </row>
    <row r="73" spans="3:14" x14ac:dyDescent="0.35">
      <c r="H73" s="67" t="s">
        <v>42</v>
      </c>
      <c r="I73" s="67" t="s">
        <v>43</v>
      </c>
      <c r="J73" s="67" t="s">
        <v>44</v>
      </c>
    </row>
    <row r="74" spans="3:14" x14ac:dyDescent="0.35">
      <c r="H74" s="42" t="s">
        <v>52</v>
      </c>
      <c r="I74" s="42" t="s">
        <v>53</v>
      </c>
      <c r="J74" s="68">
        <f>M21-O21-N21-L21+I21-G73</f>
        <v>33969</v>
      </c>
      <c r="K74" s="68">
        <v>33969</v>
      </c>
      <c r="L74" s="70">
        <f>J74-K74</f>
        <v>0</v>
      </c>
    </row>
    <row r="75" spans="3:14" x14ac:dyDescent="0.35">
      <c r="H75" s="42" t="s">
        <v>52</v>
      </c>
      <c r="I75" s="42" t="s">
        <v>47</v>
      </c>
      <c r="J75" s="68">
        <f>M22-O22-N22-L22+I22</f>
        <v>160846</v>
      </c>
      <c r="K75" s="82">
        <v>33969</v>
      </c>
      <c r="L75" s="70">
        <f>J75-K75</f>
        <v>126877</v>
      </c>
    </row>
    <row r="76" spans="3:14" x14ac:dyDescent="0.35">
      <c r="H76" s="72" t="s">
        <v>45</v>
      </c>
      <c r="I76" s="72"/>
      <c r="J76" s="73">
        <f>SUM(J74:J75)</f>
        <v>194815</v>
      </c>
      <c r="K76" s="68">
        <v>160846</v>
      </c>
      <c r="L76" s="70">
        <f>J76-K76</f>
        <v>33969</v>
      </c>
    </row>
    <row r="77" spans="3:14" x14ac:dyDescent="0.35">
      <c r="G77" s="42">
        <v>0</v>
      </c>
      <c r="H77" s="67" t="s">
        <v>42</v>
      </c>
      <c r="I77" s="67" t="s">
        <v>43</v>
      </c>
      <c r="J77" s="67" t="s">
        <v>44</v>
      </c>
      <c r="K77" s="69">
        <v>0</v>
      </c>
      <c r="L77" s="70"/>
    </row>
    <row r="78" spans="3:14" x14ac:dyDescent="0.35">
      <c r="H78" s="42" t="s">
        <v>54</v>
      </c>
      <c r="I78" s="42" t="s">
        <v>53</v>
      </c>
      <c r="J78" s="68">
        <f>M24-O24-N24-L24+I24-G77</f>
        <v>89658</v>
      </c>
      <c r="K78" s="69">
        <v>89658</v>
      </c>
      <c r="L78" s="70">
        <f>J78-K78</f>
        <v>0</v>
      </c>
    </row>
    <row r="79" spans="3:14" x14ac:dyDescent="0.35">
      <c r="H79" s="42" t="s">
        <v>54</v>
      </c>
      <c r="I79" s="42" t="s">
        <v>18</v>
      </c>
      <c r="J79" s="68">
        <f>M25-O25-N25-L25+I25</f>
        <v>42000</v>
      </c>
      <c r="K79" s="69">
        <v>67000</v>
      </c>
      <c r="L79" s="70">
        <f>J79-K79</f>
        <v>-25000</v>
      </c>
    </row>
    <row r="80" spans="3:14" x14ac:dyDescent="0.35">
      <c r="H80" s="72" t="s">
        <v>45</v>
      </c>
      <c r="I80" s="72"/>
      <c r="J80" s="73">
        <f>SUM(J78:J79)</f>
        <v>131658</v>
      </c>
      <c r="K80" s="68">
        <f>SUM(K77:K79)</f>
        <v>156658</v>
      </c>
      <c r="L80" s="70">
        <f>J80-K80</f>
        <v>-25000</v>
      </c>
    </row>
    <row r="81" spans="4:12" x14ac:dyDescent="0.35">
      <c r="H81" s="67" t="s">
        <v>42</v>
      </c>
      <c r="I81" s="67" t="s">
        <v>43</v>
      </c>
      <c r="J81" s="67" t="s">
        <v>44</v>
      </c>
      <c r="K81" s="69">
        <v>0</v>
      </c>
      <c r="L81" s="70"/>
    </row>
    <row r="82" spans="4:12" x14ac:dyDescent="0.35">
      <c r="H82" s="42" t="s">
        <v>55</v>
      </c>
      <c r="I82" s="42" t="s">
        <v>56</v>
      </c>
      <c r="J82" s="68">
        <f>'Opening Balance FEB 2026'!F36</f>
        <v>103541</v>
      </c>
      <c r="K82" s="69">
        <v>103541</v>
      </c>
      <c r="L82" s="70">
        <f>J82-K82</f>
        <v>0</v>
      </c>
    </row>
    <row r="83" spans="4:12" x14ac:dyDescent="0.35">
      <c r="H83" s="42" t="s">
        <v>55</v>
      </c>
      <c r="I83" s="42" t="s">
        <v>47</v>
      </c>
      <c r="J83" s="68">
        <f>'Opening Balance FEB 2026'!F37</f>
        <v>6013</v>
      </c>
      <c r="K83" s="69">
        <v>6013</v>
      </c>
      <c r="L83" s="70">
        <f>J83-K83</f>
        <v>0</v>
      </c>
    </row>
    <row r="84" spans="4:12" x14ac:dyDescent="0.35">
      <c r="H84" s="72" t="s">
        <v>45</v>
      </c>
      <c r="I84" s="72"/>
      <c r="J84" s="73">
        <v>109554</v>
      </c>
      <c r="K84" s="68">
        <f>SUM(K81:K83)</f>
        <v>109554</v>
      </c>
      <c r="L84" s="70">
        <f>J84-K84</f>
        <v>0</v>
      </c>
    </row>
    <row r="85" spans="4:12" x14ac:dyDescent="0.35">
      <c r="H85" s="67" t="s">
        <v>42</v>
      </c>
      <c r="I85" s="67" t="s">
        <v>43</v>
      </c>
      <c r="J85" s="67" t="s">
        <v>44</v>
      </c>
      <c r="K85" s="69">
        <v>0</v>
      </c>
      <c r="L85" s="70"/>
    </row>
    <row r="86" spans="4:12" x14ac:dyDescent="0.35">
      <c r="H86" s="42" t="s">
        <v>57</v>
      </c>
      <c r="I86" s="42" t="s">
        <v>47</v>
      </c>
      <c r="J86" s="68">
        <f>'Opening Balance FEB 2026'!F40</f>
        <v>16440</v>
      </c>
      <c r="K86" s="69">
        <v>16440</v>
      </c>
      <c r="L86" s="70">
        <f>J86-K86</f>
        <v>0</v>
      </c>
    </row>
    <row r="87" spans="4:12" x14ac:dyDescent="0.35">
      <c r="H87" s="72" t="s">
        <v>45</v>
      </c>
      <c r="I87" s="72"/>
      <c r="J87" s="73">
        <v>16440</v>
      </c>
      <c r="K87" s="69">
        <f>SUM(K85:K86)</f>
        <v>16440</v>
      </c>
    </row>
    <row r="88" spans="4:12" x14ac:dyDescent="0.35">
      <c r="J88" s="68"/>
    </row>
    <row r="89" spans="4:12" x14ac:dyDescent="0.35">
      <c r="H89" s="83" t="s">
        <v>58</v>
      </c>
      <c r="I89" s="83"/>
      <c r="J89" s="84">
        <f>J87+J84+J80+J76+J72+J64+J56</f>
        <v>13003832</v>
      </c>
    </row>
    <row r="91" spans="4:12" x14ac:dyDescent="0.35">
      <c r="D91" s="85" t="s">
        <v>82</v>
      </c>
      <c r="E91" s="85"/>
      <c r="F91" s="85"/>
      <c r="G91" s="85"/>
      <c r="H91" s="85"/>
    </row>
    <row r="92" spans="4:12" x14ac:dyDescent="0.35">
      <c r="D92" s="78" t="s">
        <v>42</v>
      </c>
      <c r="E92" s="78" t="s">
        <v>43</v>
      </c>
      <c r="F92" s="78" t="s">
        <v>79</v>
      </c>
      <c r="G92" s="78" t="s">
        <v>80</v>
      </c>
      <c r="H92" s="78" t="s">
        <v>81</v>
      </c>
    </row>
    <row r="93" spans="4:12" x14ac:dyDescent="0.35">
      <c r="D93" s="61" t="s">
        <v>14</v>
      </c>
      <c r="E93" s="61" t="s">
        <v>15</v>
      </c>
      <c r="F93" s="86">
        <f>H5</f>
        <v>0</v>
      </c>
      <c r="G93" s="86">
        <f t="shared" ref="G93:G98" si="11">O5</f>
        <v>32313</v>
      </c>
      <c r="H93" s="86">
        <f t="shared" ref="H93:H98" si="12">I5</f>
        <v>0</v>
      </c>
    </row>
    <row r="94" spans="4:12" x14ac:dyDescent="0.35">
      <c r="D94" s="61" t="s">
        <v>14</v>
      </c>
      <c r="E94" s="61" t="s">
        <v>17</v>
      </c>
      <c r="F94" s="86">
        <f>H6</f>
        <v>345159</v>
      </c>
      <c r="G94" s="86">
        <f t="shared" si="11"/>
        <v>0</v>
      </c>
      <c r="H94" s="86">
        <f t="shared" si="12"/>
        <v>345159</v>
      </c>
    </row>
    <row r="95" spans="4:12" x14ac:dyDescent="0.35">
      <c r="D95" s="61" t="s">
        <v>14</v>
      </c>
      <c r="E95" s="61" t="s">
        <v>18</v>
      </c>
      <c r="F95" s="86">
        <f>H7</f>
        <v>0</v>
      </c>
      <c r="G95" s="86">
        <f t="shared" si="11"/>
        <v>51202</v>
      </c>
      <c r="H95" s="86">
        <f t="shared" si="12"/>
        <v>0</v>
      </c>
    </row>
    <row r="96" spans="4:12" x14ac:dyDescent="0.35">
      <c r="D96" s="61" t="s">
        <v>14</v>
      </c>
      <c r="E96" s="61" t="s">
        <v>19</v>
      </c>
      <c r="F96" s="86">
        <f>H8</f>
        <v>223828</v>
      </c>
      <c r="G96" s="86">
        <f t="shared" si="11"/>
        <v>104161</v>
      </c>
      <c r="H96" s="86">
        <f t="shared" si="12"/>
        <v>210838</v>
      </c>
    </row>
    <row r="97" spans="4:8" x14ac:dyDescent="0.35">
      <c r="D97" s="61" t="s">
        <v>14</v>
      </c>
      <c r="E97" s="61" t="s">
        <v>20</v>
      </c>
      <c r="F97" s="86">
        <f>H9</f>
        <v>113776</v>
      </c>
      <c r="G97" s="86">
        <f t="shared" si="11"/>
        <v>19509</v>
      </c>
      <c r="H97" s="86">
        <f t="shared" si="12"/>
        <v>102042</v>
      </c>
    </row>
    <row r="98" spans="4:8" x14ac:dyDescent="0.35">
      <c r="D98" s="61" t="s">
        <v>14</v>
      </c>
      <c r="E98" s="61" t="s">
        <v>21</v>
      </c>
      <c r="F98" s="86" t="e">
        <f>H10+#REF!</f>
        <v>#REF!</v>
      </c>
      <c r="G98" s="86">
        <f t="shared" si="11"/>
        <v>25614</v>
      </c>
      <c r="H98" s="86">
        <f t="shared" si="12"/>
        <v>15723</v>
      </c>
    </row>
    <row r="99" spans="4:8" x14ac:dyDescent="0.35">
      <c r="D99" s="87" t="s">
        <v>45</v>
      </c>
      <c r="E99" s="87"/>
      <c r="F99" s="88" t="e">
        <f>SUM(F93:F98)</f>
        <v>#REF!</v>
      </c>
      <c r="G99" s="88">
        <f t="shared" ref="G99" si="13">SUM(G93:G98)</f>
        <v>232799</v>
      </c>
      <c r="H99" s="88">
        <f>SUM(H93:H98)</f>
        <v>673762</v>
      </c>
    </row>
    <row r="100" spans="4:8" x14ac:dyDescent="0.35">
      <c r="D100" s="78" t="s">
        <v>42</v>
      </c>
      <c r="E100" s="78" t="s">
        <v>43</v>
      </c>
      <c r="F100" s="89" t="s">
        <v>79</v>
      </c>
      <c r="G100" s="89" t="s">
        <v>80</v>
      </c>
      <c r="H100" s="89" t="s">
        <v>81</v>
      </c>
    </row>
    <row r="101" spans="4:8" x14ac:dyDescent="0.35">
      <c r="D101" s="61" t="s">
        <v>46</v>
      </c>
      <c r="E101" s="61" t="s">
        <v>48</v>
      </c>
      <c r="F101" s="86">
        <f>H12</f>
        <v>71189</v>
      </c>
      <c r="G101" s="86">
        <f>O12</f>
        <v>63769</v>
      </c>
      <c r="H101" s="86">
        <f>I12</f>
        <v>28714</v>
      </c>
    </row>
    <row r="102" spans="4:8" x14ac:dyDescent="0.35">
      <c r="D102" s="61" t="s">
        <v>46</v>
      </c>
      <c r="E102" s="61" t="s">
        <v>47</v>
      </c>
      <c r="F102" s="86">
        <f>H14</f>
        <v>121704</v>
      </c>
      <c r="G102" s="86">
        <f>O14</f>
        <v>64272</v>
      </c>
      <c r="H102" s="86">
        <f>I14</f>
        <v>43497</v>
      </c>
    </row>
    <row r="103" spans="4:8" x14ac:dyDescent="0.35">
      <c r="D103" s="61" t="s">
        <v>27</v>
      </c>
      <c r="E103" s="61" t="s">
        <v>47</v>
      </c>
      <c r="F103" s="86">
        <v>0</v>
      </c>
      <c r="G103" s="86">
        <v>0</v>
      </c>
      <c r="H103" s="86">
        <v>0</v>
      </c>
    </row>
    <row r="104" spans="4:8" x14ac:dyDescent="0.35">
      <c r="D104" s="87" t="s">
        <v>45</v>
      </c>
      <c r="E104" s="87"/>
      <c r="F104" s="88">
        <f>SUM(F101:F103)</f>
        <v>192893</v>
      </c>
      <c r="G104" s="88">
        <f>SUM(G101:G103)</f>
        <v>128041</v>
      </c>
      <c r="H104" s="88">
        <f>SUM(H101:H103)</f>
        <v>72211</v>
      </c>
    </row>
    <row r="105" spans="4:8" x14ac:dyDescent="0.35">
      <c r="D105" s="78" t="s">
        <v>42</v>
      </c>
      <c r="E105" s="78" t="s">
        <v>43</v>
      </c>
      <c r="F105" s="89" t="s">
        <v>79</v>
      </c>
      <c r="G105" s="89" t="s">
        <v>80</v>
      </c>
      <c r="H105" s="89" t="s">
        <v>81</v>
      </c>
    </row>
    <row r="106" spans="4:8" x14ac:dyDescent="0.35">
      <c r="D106" s="61" t="s">
        <v>49</v>
      </c>
      <c r="E106" s="61" t="s">
        <v>51</v>
      </c>
      <c r="F106" s="86">
        <f>H27</f>
        <v>167308</v>
      </c>
      <c r="G106" s="86">
        <f>O27</f>
        <v>69025</v>
      </c>
      <c r="H106" s="86">
        <f>I27</f>
        <v>167308</v>
      </c>
    </row>
    <row r="107" spans="4:8" x14ac:dyDescent="0.35">
      <c r="D107" s="61" t="s">
        <v>49</v>
      </c>
      <c r="E107" s="61" t="s">
        <v>18</v>
      </c>
      <c r="F107" s="86">
        <f>H28</f>
        <v>0</v>
      </c>
      <c r="G107" s="86">
        <f>O28</f>
        <v>0</v>
      </c>
      <c r="H107" s="86">
        <v>0</v>
      </c>
    </row>
    <row r="108" spans="4:8" x14ac:dyDescent="0.35">
      <c r="D108" s="61" t="s">
        <v>49</v>
      </c>
      <c r="E108" s="61" t="s">
        <v>50</v>
      </c>
      <c r="F108" s="86" t="e">
        <f>#REF!+#REF!</f>
        <v>#REF!</v>
      </c>
      <c r="G108" s="86" t="e">
        <f>#REF!</f>
        <v>#REF!</v>
      </c>
      <c r="H108" s="86" t="e">
        <f>#REF!+#REF!</f>
        <v>#REF!</v>
      </c>
    </row>
    <row r="109" spans="4:8" x14ac:dyDescent="0.35">
      <c r="D109" s="87" t="s">
        <v>45</v>
      </c>
      <c r="E109" s="87"/>
      <c r="F109" s="88" t="e">
        <f>SUM(F106:F108)</f>
        <v>#REF!</v>
      </c>
      <c r="G109" s="88" t="e">
        <f>SUM(G106:G108)</f>
        <v>#REF!</v>
      </c>
      <c r="H109" s="88" t="e">
        <f>SUM(H106:H108)</f>
        <v>#REF!</v>
      </c>
    </row>
    <row r="110" spans="4:8" x14ac:dyDescent="0.35">
      <c r="D110" s="78" t="s">
        <v>42</v>
      </c>
      <c r="E110" s="78" t="s">
        <v>43</v>
      </c>
      <c r="F110" s="89" t="s">
        <v>79</v>
      </c>
      <c r="G110" s="89" t="s">
        <v>80</v>
      </c>
      <c r="H110" s="89" t="s">
        <v>81</v>
      </c>
    </row>
    <row r="111" spans="4:8" x14ac:dyDescent="0.35">
      <c r="D111" s="61" t="s">
        <v>52</v>
      </c>
      <c r="E111" s="61" t="s">
        <v>53</v>
      </c>
      <c r="F111" s="86">
        <f>H21</f>
        <v>0</v>
      </c>
      <c r="G111" s="86">
        <f>O21</f>
        <v>0</v>
      </c>
      <c r="H111" s="86">
        <f>I21</f>
        <v>0</v>
      </c>
    </row>
    <row r="112" spans="4:8" x14ac:dyDescent="0.35">
      <c r="D112" s="87" t="s">
        <v>45</v>
      </c>
      <c r="E112" s="87"/>
      <c r="F112" s="88">
        <f>SUM(F111)</f>
        <v>0</v>
      </c>
      <c r="G112" s="88">
        <f t="shared" ref="G112" si="14">SUM(G111)</f>
        <v>0</v>
      </c>
      <c r="H112" s="88">
        <f>SUM(H111)</f>
        <v>0</v>
      </c>
    </row>
    <row r="113" spans="4:8" x14ac:dyDescent="0.35">
      <c r="D113" s="78" t="s">
        <v>42</v>
      </c>
      <c r="E113" s="78" t="s">
        <v>43</v>
      </c>
      <c r="F113" s="89" t="s">
        <v>79</v>
      </c>
      <c r="G113" s="89" t="s">
        <v>80</v>
      </c>
      <c r="H113" s="89" t="s">
        <v>81</v>
      </c>
    </row>
    <row r="114" spans="4:8" x14ac:dyDescent="0.35">
      <c r="D114" s="61" t="s">
        <v>54</v>
      </c>
      <c r="E114" s="61" t="s">
        <v>53</v>
      </c>
      <c r="F114" s="86">
        <f>H24</f>
        <v>0</v>
      </c>
      <c r="G114" s="86">
        <f>O24</f>
        <v>0</v>
      </c>
      <c r="H114" s="86">
        <f>I24</f>
        <v>0</v>
      </c>
    </row>
    <row r="115" spans="4:8" x14ac:dyDescent="0.35">
      <c r="D115" s="61" t="s">
        <v>54</v>
      </c>
      <c r="E115" s="61" t="s">
        <v>18</v>
      </c>
      <c r="F115" s="86">
        <f>H25</f>
        <v>0</v>
      </c>
      <c r="G115" s="86">
        <f>O25</f>
        <v>0</v>
      </c>
      <c r="H115" s="86">
        <f>I25</f>
        <v>0</v>
      </c>
    </row>
    <row r="116" spans="4:8" x14ac:dyDescent="0.35">
      <c r="D116" s="87" t="s">
        <v>45</v>
      </c>
      <c r="E116" s="87"/>
      <c r="F116" s="88">
        <f>SUM(F114:F115)</f>
        <v>0</v>
      </c>
      <c r="G116" s="88">
        <f t="shared" ref="G116" si="15">SUM(G114:G115)</f>
        <v>0</v>
      </c>
      <c r="H116" s="88">
        <f>SUM(H114:H115)</f>
        <v>0</v>
      </c>
    </row>
    <row r="117" spans="4:8" x14ac:dyDescent="0.35">
      <c r="D117" s="90"/>
      <c r="E117" s="90"/>
      <c r="F117" s="91" t="e">
        <f>F116+F112+F109+F104+F99</f>
        <v>#REF!</v>
      </c>
      <c r="G117" s="91" t="e">
        <f t="shared" ref="G117" si="16">G116+G112+G109+G104+G99</f>
        <v>#REF!</v>
      </c>
      <c r="H117" s="91" t="e">
        <f>H116+H112+H109+H104+H99</f>
        <v>#REF!</v>
      </c>
    </row>
  </sheetData>
  <mergeCells count="43">
    <mergeCell ref="D70:E70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58:E58"/>
    <mergeCell ref="K47:L47"/>
    <mergeCell ref="M47:O47"/>
    <mergeCell ref="H48:J48"/>
    <mergeCell ref="K48:K49"/>
    <mergeCell ref="C51:E51"/>
    <mergeCell ref="C52:E52"/>
    <mergeCell ref="D53:E53"/>
    <mergeCell ref="D54:E54"/>
    <mergeCell ref="D55:E55"/>
    <mergeCell ref="D56:E56"/>
    <mergeCell ref="D57:E57"/>
    <mergeCell ref="K44:L44"/>
    <mergeCell ref="M44:O44"/>
    <mergeCell ref="K45:L45"/>
    <mergeCell ref="M45:O45"/>
    <mergeCell ref="K46:L46"/>
    <mergeCell ref="M46:O46"/>
    <mergeCell ref="M43:O43"/>
    <mergeCell ref="C2:O2"/>
    <mergeCell ref="C3:O3"/>
    <mergeCell ref="H33:I33"/>
    <mergeCell ref="K34:L34"/>
    <mergeCell ref="M34:O34"/>
    <mergeCell ref="C35:D35"/>
    <mergeCell ref="K35:L35"/>
    <mergeCell ref="K36:L36"/>
    <mergeCell ref="K37:L37"/>
    <mergeCell ref="K38:L38"/>
    <mergeCell ref="K39:L39"/>
    <mergeCell ref="K43:L43"/>
  </mergeCells>
  <pageMargins left="0.7" right="0.7" top="0.75" bottom="0.75" header="0.3" footer="0.3"/>
  <pageSetup orientation="portrait" verticalDpi="0" r:id="rId1"/>
  <ignoredErrors>
    <ignoredError sqref="H11:O11 H13:O13 H12:L12 N12:O12 H17:O18 H14:L14 N14:O14 H15:L16 N15:O16 H20:O20 H19:L19 N19:O19 H23:O23 H21:L21 N21:O21 H22:L22 N22:O22 H26:O26 H24:L24 N24:O24 H25:L25 N25:O25 H31:O38 H27:L27 N27:O27 H28:L30 N28:O30" formula="1"/>
    <ignoredError sqref="J89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9"/>
  <sheetViews>
    <sheetView topLeftCell="A43" zoomScale="60" zoomScaleNormal="60" workbookViewId="0">
      <selection sqref="A1:XFD1048576"/>
    </sheetView>
  </sheetViews>
  <sheetFormatPr defaultRowHeight="21" x14ac:dyDescent="0.35"/>
  <cols>
    <col min="1" max="1" width="5.5703125" style="42" customWidth="1"/>
    <col min="2" max="2" width="0.140625" style="42" hidden="1" customWidth="1"/>
    <col min="3" max="3" width="20.85546875" style="42" customWidth="1"/>
    <col min="4" max="4" width="25.42578125" style="42" customWidth="1"/>
    <col min="5" max="5" width="17.140625" style="42" customWidth="1"/>
    <col min="6" max="6" width="20.85546875" style="42" customWidth="1"/>
    <col min="7" max="7" width="21" style="42" customWidth="1"/>
    <col min="8" max="8" width="22.140625" style="42" bestFit="1" customWidth="1"/>
    <col min="9" max="9" width="22.85546875" style="42" bestFit="1" customWidth="1"/>
    <col min="10" max="10" width="21.42578125" style="42" customWidth="1"/>
    <col min="11" max="11" width="20.85546875" style="42" customWidth="1"/>
    <col min="12" max="12" width="21.140625" style="42" customWidth="1"/>
    <col min="13" max="13" width="26.140625" style="42" bestFit="1" customWidth="1"/>
    <col min="14" max="14" width="15.7109375" style="42" customWidth="1"/>
    <col min="15" max="15" width="22" style="42" customWidth="1"/>
    <col min="16" max="16" width="7.5703125" style="42" customWidth="1"/>
    <col min="17" max="17" width="14.28515625" style="42" bestFit="1" customWidth="1"/>
    <col min="18" max="18" width="11.42578125" style="42" customWidth="1"/>
    <col min="19" max="16384" width="9.140625" style="42"/>
  </cols>
  <sheetData>
    <row r="2" spans="1:16" ht="41.25" customHeight="1" x14ac:dyDescent="0.35">
      <c r="C2" s="194">
        <v>46083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6"/>
    </row>
    <row r="3" spans="1:16" ht="32.25" customHeight="1" x14ac:dyDescent="0.35">
      <c r="C3" s="197" t="s">
        <v>0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6" ht="84" x14ac:dyDescent="0.35">
      <c r="A4" s="94"/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  <c r="J4" s="40" t="s">
        <v>8</v>
      </c>
      <c r="K4" s="43" t="s">
        <v>9</v>
      </c>
      <c r="L4" s="43" t="s">
        <v>10</v>
      </c>
      <c r="M4" s="44" t="s">
        <v>11</v>
      </c>
      <c r="N4" s="45" t="s">
        <v>12</v>
      </c>
      <c r="O4" s="40" t="s">
        <v>13</v>
      </c>
    </row>
    <row r="5" spans="1:16" x14ac:dyDescent="0.35">
      <c r="A5" s="46"/>
      <c r="C5" s="37" t="s">
        <v>14</v>
      </c>
      <c r="D5" s="38" t="s">
        <v>15</v>
      </c>
      <c r="E5" s="39" t="s">
        <v>92</v>
      </c>
      <c r="F5" s="27">
        <v>90007</v>
      </c>
      <c r="G5" s="27">
        <v>2634</v>
      </c>
      <c r="H5" s="28">
        <f>F5-G5</f>
        <v>87373</v>
      </c>
      <c r="I5" s="28">
        <f>H5-J5</f>
        <v>34506</v>
      </c>
      <c r="J5" s="25">
        <v>52867</v>
      </c>
      <c r="K5" s="29">
        <v>0</v>
      </c>
      <c r="L5" s="25">
        <v>0</v>
      </c>
      <c r="M5" s="27">
        <f>'01-03-2026'!J50</f>
        <v>359515</v>
      </c>
      <c r="N5" s="29">
        <v>0</v>
      </c>
      <c r="O5" s="30">
        <v>41122</v>
      </c>
      <c r="P5" s="47"/>
    </row>
    <row r="6" spans="1:16" x14ac:dyDescent="0.35">
      <c r="A6" s="46"/>
      <c r="C6" s="37" t="s">
        <v>14</v>
      </c>
      <c r="D6" s="38" t="s">
        <v>17</v>
      </c>
      <c r="E6" s="39" t="s">
        <v>16</v>
      </c>
      <c r="F6" s="27">
        <v>0</v>
      </c>
      <c r="G6" s="27">
        <v>0</v>
      </c>
      <c r="H6" s="28">
        <f t="shared" ref="H6:H32" si="0">F6-G6</f>
        <v>0</v>
      </c>
      <c r="I6" s="28">
        <f t="shared" ref="I6:I32" si="1">H6-J6</f>
        <v>0</v>
      </c>
      <c r="J6" s="25">
        <v>0</v>
      </c>
      <c r="K6" s="29">
        <v>0</v>
      </c>
      <c r="L6" s="25">
        <v>0</v>
      </c>
      <c r="M6" s="27">
        <f>'01-03-2026'!J51</f>
        <v>3301305</v>
      </c>
      <c r="N6" s="29">
        <v>0</v>
      </c>
      <c r="O6" s="30">
        <v>0</v>
      </c>
    </row>
    <row r="7" spans="1:16" x14ac:dyDescent="0.35">
      <c r="A7" s="46"/>
      <c r="C7" s="37" t="s">
        <v>14</v>
      </c>
      <c r="D7" s="38" t="s">
        <v>18</v>
      </c>
      <c r="E7" s="93" t="s">
        <v>86</v>
      </c>
      <c r="F7" s="27">
        <v>114280</v>
      </c>
      <c r="G7" s="27">
        <v>1408</v>
      </c>
      <c r="H7" s="28">
        <f t="shared" si="0"/>
        <v>112872</v>
      </c>
      <c r="I7" s="28">
        <f t="shared" si="1"/>
        <v>107869</v>
      </c>
      <c r="J7" s="25">
        <v>5003</v>
      </c>
      <c r="K7" s="29">
        <v>0</v>
      </c>
      <c r="L7" s="25">
        <v>0</v>
      </c>
      <c r="M7" s="27">
        <f>'01-03-2026'!J52</f>
        <v>1013356</v>
      </c>
      <c r="N7" s="29">
        <v>0</v>
      </c>
      <c r="O7" s="30">
        <v>40570</v>
      </c>
    </row>
    <row r="8" spans="1:16" x14ac:dyDescent="0.35">
      <c r="A8" s="46"/>
      <c r="C8" s="37" t="s">
        <v>14</v>
      </c>
      <c r="D8" s="38" t="s">
        <v>18</v>
      </c>
      <c r="E8" s="39" t="s">
        <v>95</v>
      </c>
      <c r="F8" s="27">
        <v>70251</v>
      </c>
      <c r="G8" s="27">
        <v>0</v>
      </c>
      <c r="H8" s="28">
        <f t="shared" si="0"/>
        <v>70251</v>
      </c>
      <c r="I8" s="28">
        <f t="shared" si="1"/>
        <v>65442</v>
      </c>
      <c r="J8" s="25">
        <v>4809</v>
      </c>
      <c r="K8" s="29">
        <v>0</v>
      </c>
      <c r="L8" s="25">
        <v>0</v>
      </c>
      <c r="M8" s="27">
        <v>0</v>
      </c>
      <c r="N8" s="29">
        <v>0</v>
      </c>
      <c r="O8" s="30">
        <v>0</v>
      </c>
    </row>
    <row r="9" spans="1:16" x14ac:dyDescent="0.35">
      <c r="A9" s="46"/>
      <c r="C9" s="37" t="s">
        <v>14</v>
      </c>
      <c r="D9" s="38" t="s">
        <v>19</v>
      </c>
      <c r="E9" s="39" t="s">
        <v>95</v>
      </c>
      <c r="F9" s="27">
        <v>51794</v>
      </c>
      <c r="G9" s="27">
        <v>0</v>
      </c>
      <c r="H9" s="28">
        <f t="shared" si="0"/>
        <v>51794</v>
      </c>
      <c r="I9" s="28">
        <f t="shared" si="1"/>
        <v>36510</v>
      </c>
      <c r="J9" s="25">
        <v>15284</v>
      </c>
      <c r="K9" s="29">
        <v>0</v>
      </c>
      <c r="L9" s="25">
        <v>0</v>
      </c>
      <c r="M9" s="27">
        <f>'01-03-2026'!J53</f>
        <v>834711</v>
      </c>
      <c r="N9" s="29">
        <v>0</v>
      </c>
      <c r="O9" s="30">
        <v>44129</v>
      </c>
    </row>
    <row r="10" spans="1:16" x14ac:dyDescent="0.35">
      <c r="A10" s="46"/>
      <c r="C10" s="37" t="s">
        <v>14</v>
      </c>
      <c r="D10" s="38" t="s">
        <v>20</v>
      </c>
      <c r="E10" s="39" t="s">
        <v>92</v>
      </c>
      <c r="F10" s="27">
        <v>95030</v>
      </c>
      <c r="G10" s="27">
        <v>5166</v>
      </c>
      <c r="H10" s="28">
        <f t="shared" si="0"/>
        <v>89864</v>
      </c>
      <c r="I10" s="28">
        <f t="shared" si="1"/>
        <v>79373</v>
      </c>
      <c r="J10" s="25">
        <v>10491</v>
      </c>
      <c r="K10" s="29">
        <v>0</v>
      </c>
      <c r="L10" s="25">
        <v>0</v>
      </c>
      <c r="M10" s="27">
        <f>'01-03-2026'!J54</f>
        <v>1058186</v>
      </c>
      <c r="N10" s="29">
        <v>0</v>
      </c>
      <c r="O10" s="30">
        <v>28373</v>
      </c>
    </row>
    <row r="11" spans="1:16" x14ac:dyDescent="0.35">
      <c r="A11" s="46"/>
      <c r="C11" s="37" t="s">
        <v>14</v>
      </c>
      <c r="D11" s="38" t="s">
        <v>21</v>
      </c>
      <c r="E11" s="39" t="s">
        <v>86</v>
      </c>
      <c r="F11" s="27">
        <v>35055</v>
      </c>
      <c r="G11" s="27">
        <v>0</v>
      </c>
      <c r="H11" s="28">
        <f t="shared" si="0"/>
        <v>35055</v>
      </c>
      <c r="I11" s="28">
        <f t="shared" si="1"/>
        <v>26929</v>
      </c>
      <c r="J11" s="25">
        <v>8126</v>
      </c>
      <c r="K11" s="29">
        <v>0</v>
      </c>
      <c r="L11" s="25">
        <v>0</v>
      </c>
      <c r="M11" s="27">
        <f>'01-03-2026'!J55</f>
        <v>470116</v>
      </c>
      <c r="N11" s="29">
        <v>0</v>
      </c>
      <c r="O11" s="30">
        <v>42946</v>
      </c>
    </row>
    <row r="12" spans="1:16" x14ac:dyDescent="0.35">
      <c r="A12" s="48"/>
      <c r="C12" s="40" t="s">
        <v>22</v>
      </c>
      <c r="D12" s="40"/>
      <c r="E12" s="40"/>
      <c r="F12" s="31">
        <f t="shared" ref="F12:O12" si="2">SUM(F5:F11)</f>
        <v>456417</v>
      </c>
      <c r="G12" s="31">
        <f t="shared" si="2"/>
        <v>9208</v>
      </c>
      <c r="H12" s="31">
        <f t="shared" si="2"/>
        <v>447209</v>
      </c>
      <c r="I12" s="31">
        <f t="shared" si="2"/>
        <v>350629</v>
      </c>
      <c r="J12" s="31">
        <f t="shared" si="2"/>
        <v>96580</v>
      </c>
      <c r="K12" s="31">
        <f t="shared" si="2"/>
        <v>0</v>
      </c>
      <c r="L12" s="31">
        <f t="shared" si="2"/>
        <v>0</v>
      </c>
      <c r="M12" s="31">
        <f t="shared" si="2"/>
        <v>7037189</v>
      </c>
      <c r="N12" s="31">
        <f t="shared" si="2"/>
        <v>0</v>
      </c>
      <c r="O12" s="31">
        <f t="shared" si="2"/>
        <v>197140</v>
      </c>
    </row>
    <row r="13" spans="1:16" x14ac:dyDescent="0.35">
      <c r="C13" s="37" t="s">
        <v>23</v>
      </c>
      <c r="D13" s="38" t="s">
        <v>24</v>
      </c>
      <c r="E13" s="39" t="s">
        <v>85</v>
      </c>
      <c r="F13" s="27">
        <v>255556</v>
      </c>
      <c r="G13" s="27">
        <v>2613</v>
      </c>
      <c r="H13" s="28">
        <f t="shared" si="0"/>
        <v>252943</v>
      </c>
      <c r="I13" s="28">
        <f t="shared" si="1"/>
        <v>230037</v>
      </c>
      <c r="J13" s="25">
        <v>22906</v>
      </c>
      <c r="K13" s="29">
        <v>0</v>
      </c>
      <c r="L13" s="25">
        <v>0</v>
      </c>
      <c r="M13" s="27">
        <f>'01-03-2026'!J59</f>
        <v>238908</v>
      </c>
      <c r="N13" s="29">
        <v>0</v>
      </c>
      <c r="O13" s="25">
        <v>33057</v>
      </c>
    </row>
    <row r="14" spans="1:16" x14ac:dyDescent="0.35">
      <c r="C14" s="37" t="s">
        <v>23</v>
      </c>
      <c r="D14" s="38" t="s">
        <v>25</v>
      </c>
      <c r="E14" s="39" t="s">
        <v>85</v>
      </c>
      <c r="F14" s="27">
        <v>59685</v>
      </c>
      <c r="G14" s="27">
        <v>0</v>
      </c>
      <c r="H14" s="28">
        <f t="shared" si="0"/>
        <v>59685</v>
      </c>
      <c r="I14" s="28">
        <f t="shared" si="1"/>
        <v>51512</v>
      </c>
      <c r="J14" s="25">
        <v>8173</v>
      </c>
      <c r="K14" s="29">
        <v>0</v>
      </c>
      <c r="L14" s="25">
        <v>15651</v>
      </c>
      <c r="M14" s="27">
        <f>'01-03-2026'!J60</f>
        <v>1462907</v>
      </c>
      <c r="N14" s="29">
        <v>0</v>
      </c>
      <c r="O14" s="25">
        <v>0</v>
      </c>
    </row>
    <row r="15" spans="1:16" x14ac:dyDescent="0.35">
      <c r="C15" s="37" t="s">
        <v>23</v>
      </c>
      <c r="D15" s="38" t="s">
        <v>25</v>
      </c>
      <c r="E15" s="39" t="s">
        <v>92</v>
      </c>
      <c r="F15" s="27">
        <v>78329</v>
      </c>
      <c r="G15" s="27">
        <v>7272</v>
      </c>
      <c r="H15" s="28">
        <f t="shared" si="0"/>
        <v>71057</v>
      </c>
      <c r="I15" s="28">
        <f t="shared" si="1"/>
        <v>0</v>
      </c>
      <c r="J15" s="25">
        <v>71057</v>
      </c>
      <c r="K15" s="29">
        <v>0</v>
      </c>
      <c r="L15" s="25">
        <v>0</v>
      </c>
      <c r="M15" s="27">
        <v>0</v>
      </c>
      <c r="N15" s="29">
        <v>0</v>
      </c>
      <c r="O15" s="25">
        <v>0</v>
      </c>
    </row>
    <row r="16" spans="1:16" x14ac:dyDescent="0.35">
      <c r="C16" s="37" t="s">
        <v>23</v>
      </c>
      <c r="D16" s="38" t="s">
        <v>26</v>
      </c>
      <c r="E16" s="39" t="s">
        <v>84</v>
      </c>
      <c r="F16" s="27">
        <v>123347</v>
      </c>
      <c r="G16" s="27">
        <v>0</v>
      </c>
      <c r="H16" s="28">
        <f t="shared" si="0"/>
        <v>123347</v>
      </c>
      <c r="I16" s="28">
        <f t="shared" si="1"/>
        <v>95985</v>
      </c>
      <c r="J16" s="25">
        <v>27362</v>
      </c>
      <c r="K16" s="29">
        <v>0</v>
      </c>
      <c r="L16" s="25">
        <v>0</v>
      </c>
      <c r="M16" s="27">
        <f>'01-03-2026'!J61</f>
        <v>541704</v>
      </c>
      <c r="N16" s="29">
        <v>0</v>
      </c>
      <c r="O16" s="25">
        <v>20000</v>
      </c>
    </row>
    <row r="17" spans="3:15" x14ac:dyDescent="0.35">
      <c r="C17" s="37" t="s">
        <v>23</v>
      </c>
      <c r="D17" s="38" t="s">
        <v>26</v>
      </c>
      <c r="E17" s="39" t="s">
        <v>92</v>
      </c>
      <c r="F17" s="27">
        <v>10316</v>
      </c>
      <c r="G17" s="27">
        <v>0</v>
      </c>
      <c r="H17" s="28">
        <f t="shared" si="0"/>
        <v>10316</v>
      </c>
      <c r="I17" s="28">
        <f t="shared" si="1"/>
        <v>0</v>
      </c>
      <c r="J17" s="25">
        <v>10316</v>
      </c>
      <c r="K17" s="29">
        <v>0</v>
      </c>
      <c r="L17" s="25">
        <v>0</v>
      </c>
      <c r="M17" s="27">
        <v>0</v>
      </c>
      <c r="N17" s="29">
        <v>0</v>
      </c>
      <c r="O17" s="25">
        <v>0</v>
      </c>
    </row>
    <row r="18" spans="3:15" x14ac:dyDescent="0.35">
      <c r="C18" s="37" t="s">
        <v>23</v>
      </c>
      <c r="D18" s="38" t="s">
        <v>20</v>
      </c>
      <c r="E18" s="39" t="s">
        <v>92</v>
      </c>
      <c r="F18" s="27">
        <v>9753</v>
      </c>
      <c r="G18" s="27">
        <v>0</v>
      </c>
      <c r="H18" s="28">
        <f t="shared" si="0"/>
        <v>9753</v>
      </c>
      <c r="I18" s="28">
        <f t="shared" si="1"/>
        <v>0</v>
      </c>
      <c r="J18" s="25">
        <v>9753</v>
      </c>
      <c r="K18" s="29">
        <v>0</v>
      </c>
      <c r="L18" s="25">
        <v>0</v>
      </c>
      <c r="M18" s="27">
        <f>'01-03-2026'!J62</f>
        <v>8160</v>
      </c>
      <c r="N18" s="29">
        <v>0</v>
      </c>
      <c r="O18" s="25">
        <v>0</v>
      </c>
    </row>
    <row r="19" spans="3:15" x14ac:dyDescent="0.35">
      <c r="C19" s="37" t="s">
        <v>23</v>
      </c>
      <c r="D19" s="38" t="s">
        <v>18</v>
      </c>
      <c r="E19" s="39" t="s">
        <v>16</v>
      </c>
      <c r="F19" s="27">
        <v>0</v>
      </c>
      <c r="G19" s="27">
        <v>0</v>
      </c>
      <c r="H19" s="28">
        <f t="shared" si="0"/>
        <v>0</v>
      </c>
      <c r="I19" s="28">
        <f t="shared" si="1"/>
        <v>0</v>
      </c>
      <c r="J19" s="25">
        <v>0</v>
      </c>
      <c r="K19" s="29">
        <v>0</v>
      </c>
      <c r="L19" s="25">
        <v>0</v>
      </c>
      <c r="M19" s="27">
        <v>0</v>
      </c>
      <c r="N19" s="29">
        <v>0</v>
      </c>
      <c r="O19" s="25">
        <v>0</v>
      </c>
    </row>
    <row r="20" spans="3:15" x14ac:dyDescent="0.35">
      <c r="C20" s="37" t="s">
        <v>23</v>
      </c>
      <c r="D20" s="40"/>
      <c r="E20" s="40"/>
      <c r="F20" s="31">
        <f>SUM(F13:F19)</f>
        <v>536986</v>
      </c>
      <c r="G20" s="31">
        <f>SUM(G13:G19)</f>
        <v>9885</v>
      </c>
      <c r="H20" s="31">
        <f>SUM(H13:H18)</f>
        <v>527101</v>
      </c>
      <c r="I20" s="31">
        <f>SUM(I13:I18)</f>
        <v>377534</v>
      </c>
      <c r="J20" s="31">
        <f>SUM(J13:J19)</f>
        <v>149567</v>
      </c>
      <c r="K20" s="31">
        <f>SUM(K13:K18)</f>
        <v>0</v>
      </c>
      <c r="L20" s="31">
        <f>SUM(L13:L18)</f>
        <v>15651</v>
      </c>
      <c r="M20" s="31">
        <f>SUM(M13:M19)</f>
        <v>2251679</v>
      </c>
      <c r="N20" s="31">
        <f>SUM(N13:N18)</f>
        <v>0</v>
      </c>
      <c r="O20" s="31">
        <f>SUM(O13:O19)</f>
        <v>53057</v>
      </c>
    </row>
    <row r="21" spans="3:15" x14ac:dyDescent="0.35">
      <c r="C21" s="37" t="s">
        <v>27</v>
      </c>
      <c r="D21" s="38" t="s">
        <v>25</v>
      </c>
      <c r="E21" s="39" t="s">
        <v>16</v>
      </c>
      <c r="F21" s="27">
        <v>0</v>
      </c>
      <c r="G21" s="27">
        <v>0</v>
      </c>
      <c r="H21" s="28">
        <f t="shared" si="0"/>
        <v>0</v>
      </c>
      <c r="I21" s="28">
        <f t="shared" si="1"/>
        <v>0</v>
      </c>
      <c r="J21" s="25">
        <v>0</v>
      </c>
      <c r="K21" s="29">
        <v>0</v>
      </c>
      <c r="L21" s="25">
        <v>0</v>
      </c>
      <c r="M21" s="27">
        <f>'01-03-2026'!J63</f>
        <v>51257</v>
      </c>
      <c r="N21" s="29">
        <v>0</v>
      </c>
      <c r="O21" s="25">
        <v>0</v>
      </c>
    </row>
    <row r="22" spans="3:15" x14ac:dyDescent="0.35">
      <c r="C22" s="40"/>
      <c r="D22" s="40"/>
      <c r="E22" s="40"/>
      <c r="F22" s="31">
        <f>SUM(F21)</f>
        <v>0</v>
      </c>
      <c r="G22" s="31">
        <f t="shared" ref="G22:O22" si="3">SUM(G21)</f>
        <v>0</v>
      </c>
      <c r="H22" s="31">
        <f t="shared" si="3"/>
        <v>0</v>
      </c>
      <c r="I22" s="31">
        <f t="shared" si="3"/>
        <v>0</v>
      </c>
      <c r="J22" s="31">
        <f t="shared" si="3"/>
        <v>0</v>
      </c>
      <c r="K22" s="31">
        <f t="shared" si="3"/>
        <v>0</v>
      </c>
      <c r="L22" s="31">
        <f t="shared" si="3"/>
        <v>0</v>
      </c>
      <c r="M22" s="31">
        <f t="shared" si="3"/>
        <v>51257</v>
      </c>
      <c r="N22" s="31">
        <f t="shared" si="3"/>
        <v>0</v>
      </c>
      <c r="O22" s="31">
        <f t="shared" si="3"/>
        <v>0</v>
      </c>
    </row>
    <row r="23" spans="3:15" x14ac:dyDescent="0.35">
      <c r="C23" s="37" t="s">
        <v>28</v>
      </c>
      <c r="D23" s="38" t="s">
        <v>29</v>
      </c>
      <c r="E23" s="39" t="s">
        <v>16</v>
      </c>
      <c r="F23" s="27">
        <v>0</v>
      </c>
      <c r="G23" s="27">
        <v>0</v>
      </c>
      <c r="H23" s="28">
        <f t="shared" si="0"/>
        <v>0</v>
      </c>
      <c r="I23" s="28">
        <f t="shared" si="1"/>
        <v>0</v>
      </c>
      <c r="J23" s="25">
        <v>0</v>
      </c>
      <c r="K23" s="29">
        <v>0</v>
      </c>
      <c r="L23" s="25">
        <v>0</v>
      </c>
      <c r="M23" s="27">
        <f>'01-03-2026'!J74</f>
        <v>33969</v>
      </c>
      <c r="N23" s="29">
        <v>0</v>
      </c>
      <c r="O23" s="25">
        <v>0</v>
      </c>
    </row>
    <row r="24" spans="3:15" x14ac:dyDescent="0.35">
      <c r="C24" s="37" t="s">
        <v>28</v>
      </c>
      <c r="D24" s="38" t="s">
        <v>25</v>
      </c>
      <c r="E24" s="39" t="s">
        <v>16</v>
      </c>
      <c r="F24" s="27">
        <v>0</v>
      </c>
      <c r="G24" s="27">
        <v>0</v>
      </c>
      <c r="H24" s="28">
        <f t="shared" si="0"/>
        <v>0</v>
      </c>
      <c r="I24" s="28">
        <f t="shared" si="1"/>
        <v>0</v>
      </c>
      <c r="J24" s="25">
        <v>0</v>
      </c>
      <c r="K24" s="29">
        <v>0</v>
      </c>
      <c r="L24" s="25">
        <v>0</v>
      </c>
      <c r="M24" s="27">
        <f>'01-03-2026'!J75</f>
        <v>160846</v>
      </c>
      <c r="N24" s="29">
        <v>0</v>
      </c>
      <c r="O24" s="25">
        <v>0</v>
      </c>
    </row>
    <row r="25" spans="3:15" x14ac:dyDescent="0.35">
      <c r="C25" s="40" t="s">
        <v>22</v>
      </c>
      <c r="D25" s="40"/>
      <c r="E25" s="40"/>
      <c r="F25" s="31">
        <f t="shared" ref="F25:L25" si="4">SUM(F23:F24)</f>
        <v>0</v>
      </c>
      <c r="G25" s="31">
        <f t="shared" si="4"/>
        <v>0</v>
      </c>
      <c r="H25" s="31">
        <f t="shared" si="4"/>
        <v>0</v>
      </c>
      <c r="I25" s="31">
        <f t="shared" si="4"/>
        <v>0</v>
      </c>
      <c r="J25" s="31">
        <f t="shared" si="4"/>
        <v>0</v>
      </c>
      <c r="K25" s="31">
        <f>SUM(K23:K24)</f>
        <v>0</v>
      </c>
      <c r="L25" s="31">
        <f t="shared" si="4"/>
        <v>0</v>
      </c>
      <c r="M25" s="31">
        <f>SUM(M23:M24)</f>
        <v>194815</v>
      </c>
      <c r="N25" s="31">
        <f t="shared" ref="N25:O25" si="5">SUM(N23:N24)</f>
        <v>0</v>
      </c>
      <c r="O25" s="31">
        <f t="shared" si="5"/>
        <v>0</v>
      </c>
    </row>
    <row r="26" spans="3:15" x14ac:dyDescent="0.35">
      <c r="C26" s="37" t="s">
        <v>30</v>
      </c>
      <c r="D26" s="38" t="s">
        <v>29</v>
      </c>
      <c r="E26" s="39" t="s">
        <v>16</v>
      </c>
      <c r="F26" s="32">
        <v>0</v>
      </c>
      <c r="G26" s="32">
        <v>0</v>
      </c>
      <c r="H26" s="28">
        <f t="shared" si="0"/>
        <v>0</v>
      </c>
      <c r="I26" s="28">
        <f t="shared" si="1"/>
        <v>0</v>
      </c>
      <c r="J26" s="33">
        <v>0</v>
      </c>
      <c r="K26" s="34">
        <v>0</v>
      </c>
      <c r="L26" s="33">
        <v>0</v>
      </c>
      <c r="M26" s="32">
        <f>'01-03-2026'!J78</f>
        <v>89658</v>
      </c>
      <c r="N26" s="34">
        <v>0</v>
      </c>
      <c r="O26" s="33">
        <v>0</v>
      </c>
    </row>
    <row r="27" spans="3:15" x14ac:dyDescent="0.35">
      <c r="C27" s="37" t="s">
        <v>30</v>
      </c>
      <c r="D27" s="38" t="s">
        <v>31</v>
      </c>
      <c r="E27" s="39" t="s">
        <v>16</v>
      </c>
      <c r="F27" s="32">
        <v>0</v>
      </c>
      <c r="G27" s="32">
        <v>0</v>
      </c>
      <c r="H27" s="28">
        <f t="shared" si="0"/>
        <v>0</v>
      </c>
      <c r="I27" s="28">
        <f t="shared" si="1"/>
        <v>0</v>
      </c>
      <c r="J27" s="33">
        <v>0</v>
      </c>
      <c r="K27" s="34">
        <v>0</v>
      </c>
      <c r="L27" s="33">
        <v>0</v>
      </c>
      <c r="M27" s="32">
        <f>'01-03-2026'!J79</f>
        <v>42000</v>
      </c>
      <c r="N27" s="34">
        <v>0</v>
      </c>
      <c r="O27" s="33">
        <v>0</v>
      </c>
    </row>
    <row r="28" spans="3:15" x14ac:dyDescent="0.35">
      <c r="C28" s="40" t="s">
        <v>22</v>
      </c>
      <c r="D28" s="40"/>
      <c r="E28" s="40"/>
      <c r="F28" s="31">
        <f>SUM(F26:F27)</f>
        <v>0</v>
      </c>
      <c r="G28" s="31">
        <f t="shared" ref="G28:O28" si="6">SUM(G26:G27)</f>
        <v>0</v>
      </c>
      <c r="H28" s="31">
        <f t="shared" si="6"/>
        <v>0</v>
      </c>
      <c r="I28" s="31">
        <f t="shared" si="6"/>
        <v>0</v>
      </c>
      <c r="J28" s="31">
        <f t="shared" si="6"/>
        <v>0</v>
      </c>
      <c r="K28" s="31">
        <f t="shared" si="6"/>
        <v>0</v>
      </c>
      <c r="L28" s="31">
        <f t="shared" si="6"/>
        <v>0</v>
      </c>
      <c r="M28" s="31">
        <f t="shared" si="6"/>
        <v>131658</v>
      </c>
      <c r="N28" s="31">
        <f t="shared" si="6"/>
        <v>0</v>
      </c>
      <c r="O28" s="31">
        <f t="shared" si="6"/>
        <v>0</v>
      </c>
    </row>
    <row r="29" spans="3:15" x14ac:dyDescent="0.35">
      <c r="C29" s="37" t="s">
        <v>32</v>
      </c>
      <c r="D29" s="38" t="s">
        <v>33</v>
      </c>
      <c r="E29" s="39" t="s">
        <v>92</v>
      </c>
      <c r="F29" s="35">
        <v>27736</v>
      </c>
      <c r="G29" s="27">
        <v>2839</v>
      </c>
      <c r="H29" s="28">
        <f t="shared" si="0"/>
        <v>24897</v>
      </c>
      <c r="I29" s="28">
        <f t="shared" si="1"/>
        <v>22417</v>
      </c>
      <c r="J29" s="25">
        <v>2480</v>
      </c>
      <c r="K29" s="29">
        <v>0</v>
      </c>
      <c r="L29" s="25">
        <v>0</v>
      </c>
      <c r="M29" s="27">
        <f>'01-03-2026'!J66</f>
        <v>1491863</v>
      </c>
      <c r="N29" s="29">
        <v>0</v>
      </c>
      <c r="O29" s="25">
        <v>69021</v>
      </c>
    </row>
    <row r="30" spans="3:15" x14ac:dyDescent="0.35">
      <c r="C30" s="37" t="s">
        <v>32</v>
      </c>
      <c r="D30" s="38" t="s">
        <v>31</v>
      </c>
      <c r="E30" s="39" t="s">
        <v>16</v>
      </c>
      <c r="F30" s="35">
        <v>0</v>
      </c>
      <c r="G30" s="27">
        <v>0</v>
      </c>
      <c r="H30" s="28">
        <f t="shared" si="0"/>
        <v>0</v>
      </c>
      <c r="I30" s="28">
        <f t="shared" si="1"/>
        <v>0</v>
      </c>
      <c r="J30" s="25">
        <v>0</v>
      </c>
      <c r="K30" s="29">
        <v>0</v>
      </c>
      <c r="L30" s="25">
        <v>0</v>
      </c>
      <c r="M30" s="27">
        <f>'01-03-2026'!J67</f>
        <v>174473</v>
      </c>
      <c r="N30" s="29">
        <v>0</v>
      </c>
      <c r="O30" s="25">
        <v>0</v>
      </c>
    </row>
    <row r="31" spans="3:15" x14ac:dyDescent="0.35">
      <c r="C31" s="37" t="s">
        <v>32</v>
      </c>
      <c r="D31" s="38" t="s">
        <v>26</v>
      </c>
      <c r="E31" s="39" t="s">
        <v>16</v>
      </c>
      <c r="F31" s="35">
        <v>0</v>
      </c>
      <c r="G31" s="27">
        <v>0</v>
      </c>
      <c r="H31" s="28">
        <f t="shared" si="0"/>
        <v>0</v>
      </c>
      <c r="I31" s="28">
        <f t="shared" si="1"/>
        <v>0</v>
      </c>
      <c r="J31" s="25">
        <v>0</v>
      </c>
      <c r="K31" s="29">
        <v>0</v>
      </c>
      <c r="L31" s="25">
        <v>0</v>
      </c>
      <c r="M31" s="27">
        <f>'01-03-2026'!J68</f>
        <v>35126</v>
      </c>
      <c r="N31" s="29">
        <v>0</v>
      </c>
      <c r="O31" s="25">
        <v>0</v>
      </c>
    </row>
    <row r="32" spans="3:15" x14ac:dyDescent="0.35">
      <c r="C32" s="37" t="s">
        <v>32</v>
      </c>
      <c r="D32" s="38" t="s">
        <v>34</v>
      </c>
      <c r="E32" s="39" t="s">
        <v>86</v>
      </c>
      <c r="F32" s="35">
        <v>36887</v>
      </c>
      <c r="G32" s="27">
        <v>0</v>
      </c>
      <c r="H32" s="28">
        <f t="shared" si="0"/>
        <v>36887</v>
      </c>
      <c r="I32" s="28">
        <f t="shared" si="1"/>
        <v>33406</v>
      </c>
      <c r="J32" s="25">
        <v>3481</v>
      </c>
      <c r="K32" s="29">
        <v>0</v>
      </c>
      <c r="L32" s="25">
        <v>0</v>
      </c>
      <c r="M32" s="27">
        <f>'01-03-2026'!J69</f>
        <v>1420162</v>
      </c>
      <c r="N32" s="29">
        <v>0</v>
      </c>
      <c r="O32" s="25">
        <v>43440</v>
      </c>
    </row>
    <row r="33" spans="3:15" x14ac:dyDescent="0.35">
      <c r="C33" s="40" t="s">
        <v>22</v>
      </c>
      <c r="D33" s="40"/>
      <c r="E33" s="40"/>
      <c r="F33" s="31">
        <f t="shared" ref="F33:O33" si="7">SUM(F29:F32)</f>
        <v>64623</v>
      </c>
      <c r="G33" s="31">
        <f t="shared" si="7"/>
        <v>2839</v>
      </c>
      <c r="H33" s="31">
        <f t="shared" si="7"/>
        <v>61784</v>
      </c>
      <c r="I33" s="31">
        <f t="shared" si="7"/>
        <v>55823</v>
      </c>
      <c r="J33" s="31">
        <f t="shared" si="7"/>
        <v>5961</v>
      </c>
      <c r="K33" s="31">
        <f t="shared" si="7"/>
        <v>0</v>
      </c>
      <c r="L33" s="31">
        <f t="shared" si="7"/>
        <v>0</v>
      </c>
      <c r="M33" s="31">
        <f t="shared" si="7"/>
        <v>3121624</v>
      </c>
      <c r="N33" s="31">
        <f t="shared" si="7"/>
        <v>0</v>
      </c>
      <c r="O33" s="31">
        <f t="shared" si="7"/>
        <v>112461</v>
      </c>
    </row>
    <row r="34" spans="3:15" x14ac:dyDescent="0.35">
      <c r="C34" s="41" t="s">
        <v>35</v>
      </c>
      <c r="D34" s="41"/>
      <c r="E34" s="41"/>
      <c r="F34" s="36">
        <f t="shared" ref="F34:O34" si="8">F33+F28+F25+F22+F20+F12</f>
        <v>1058026</v>
      </c>
      <c r="G34" s="36">
        <f t="shared" si="8"/>
        <v>21932</v>
      </c>
      <c r="H34" s="36">
        <f t="shared" si="8"/>
        <v>1036094</v>
      </c>
      <c r="I34" s="36">
        <f t="shared" si="8"/>
        <v>783986</v>
      </c>
      <c r="J34" s="36">
        <f t="shared" si="8"/>
        <v>252108</v>
      </c>
      <c r="K34" s="36">
        <f t="shared" si="8"/>
        <v>0</v>
      </c>
      <c r="L34" s="36">
        <f t="shared" si="8"/>
        <v>15651</v>
      </c>
      <c r="M34" s="36">
        <f t="shared" si="8"/>
        <v>12788222</v>
      </c>
      <c r="N34" s="36">
        <f t="shared" si="8"/>
        <v>0</v>
      </c>
      <c r="O34" s="36">
        <f t="shared" si="8"/>
        <v>362658</v>
      </c>
    </row>
    <row r="35" spans="3:15" x14ac:dyDescent="0.35">
      <c r="F35" s="49" t="s">
        <v>36</v>
      </c>
      <c r="G35" s="25">
        <f>O12+L12+J12-K12</f>
        <v>293720</v>
      </c>
      <c r="H35" s="200"/>
      <c r="I35" s="201"/>
      <c r="J35" s="50"/>
      <c r="K35" s="51"/>
      <c r="L35" s="51"/>
    </row>
    <row r="36" spans="3:15" x14ac:dyDescent="0.35">
      <c r="F36" s="52" t="s">
        <v>37</v>
      </c>
      <c r="G36" s="25">
        <f>O20+L20+J20-K20+O22+L22+J22-K22</f>
        <v>218275</v>
      </c>
      <c r="H36" s="53"/>
      <c r="I36" s="54" t="s">
        <v>89</v>
      </c>
      <c r="J36" s="54" t="s">
        <v>90</v>
      </c>
      <c r="K36" s="192" t="s">
        <v>88</v>
      </c>
      <c r="L36" s="193"/>
      <c r="M36" s="202" t="s">
        <v>87</v>
      </c>
      <c r="N36" s="203"/>
      <c r="O36" s="204"/>
    </row>
    <row r="37" spans="3:15" x14ac:dyDescent="0.35">
      <c r="C37" s="205" t="s">
        <v>68</v>
      </c>
      <c r="D37" s="206"/>
      <c r="F37" s="55" t="s">
        <v>38</v>
      </c>
      <c r="G37" s="25">
        <f>O25+L25+J25-K25</f>
        <v>0</v>
      </c>
      <c r="H37" s="53"/>
      <c r="I37" s="54"/>
      <c r="J37" s="57"/>
      <c r="K37" s="192"/>
      <c r="L37" s="193"/>
      <c r="M37" s="59"/>
      <c r="N37" s="58"/>
      <c r="O37" s="60"/>
    </row>
    <row r="38" spans="3:15" x14ac:dyDescent="0.35">
      <c r="C38" s="61"/>
      <c r="D38" s="61"/>
      <c r="F38" s="62" t="s">
        <v>30</v>
      </c>
      <c r="G38" s="25">
        <f>O28+L28+J28-K28</f>
        <v>0</v>
      </c>
      <c r="H38" s="53"/>
      <c r="I38" s="56"/>
      <c r="J38" s="57"/>
      <c r="K38" s="192"/>
      <c r="L38" s="193"/>
      <c r="M38" s="59"/>
      <c r="N38" s="58"/>
      <c r="O38" s="60"/>
    </row>
    <row r="39" spans="3:15" x14ac:dyDescent="0.35">
      <c r="C39" s="61"/>
      <c r="D39" s="61"/>
      <c r="F39" s="49" t="s">
        <v>39</v>
      </c>
      <c r="G39" s="25">
        <f>O33+L33+J33-K33</f>
        <v>118422</v>
      </c>
      <c r="H39" s="53"/>
      <c r="I39" s="56"/>
      <c r="J39" s="57"/>
      <c r="K39" s="192"/>
      <c r="L39" s="193"/>
      <c r="M39" s="59"/>
      <c r="N39" s="58"/>
      <c r="O39" s="60"/>
    </row>
    <row r="40" spans="3:15" x14ac:dyDescent="0.35">
      <c r="C40" s="61"/>
      <c r="D40" s="61"/>
      <c r="F40" s="63" t="s">
        <v>40</v>
      </c>
      <c r="G40" s="26">
        <f>SUM(G35:G39)</f>
        <v>630417</v>
      </c>
      <c r="I40" s="61"/>
      <c r="J40" s="57"/>
      <c r="K40" s="192"/>
      <c r="L40" s="193"/>
      <c r="M40" s="59"/>
      <c r="N40" s="58"/>
      <c r="O40" s="60"/>
    </row>
    <row r="41" spans="3:15" x14ac:dyDescent="0.35">
      <c r="C41" s="61"/>
      <c r="D41" s="61"/>
      <c r="F41" s="64"/>
      <c r="G41" s="65"/>
      <c r="I41" s="61"/>
      <c r="J41" s="57"/>
      <c r="K41" s="192"/>
      <c r="L41" s="193"/>
      <c r="M41" s="59"/>
      <c r="N41" s="58"/>
      <c r="O41" s="60"/>
    </row>
    <row r="42" spans="3:15" x14ac:dyDescent="0.35">
      <c r="C42" s="61"/>
      <c r="D42" s="61"/>
      <c r="F42" s="64"/>
      <c r="G42" s="65"/>
      <c r="I42" s="61"/>
      <c r="J42" s="57"/>
      <c r="K42" s="58"/>
      <c r="L42" s="58"/>
      <c r="M42" s="59"/>
      <c r="N42" s="58"/>
      <c r="O42" s="60"/>
    </row>
    <row r="43" spans="3:15" x14ac:dyDescent="0.35">
      <c r="C43" s="61"/>
      <c r="D43" s="61"/>
      <c r="F43" s="64"/>
      <c r="G43" s="65"/>
      <c r="I43" s="61"/>
      <c r="J43" s="57"/>
      <c r="K43" s="58"/>
      <c r="L43" s="58"/>
      <c r="M43" s="59"/>
      <c r="N43" s="58"/>
      <c r="O43" s="60"/>
    </row>
    <row r="44" spans="3:15" x14ac:dyDescent="0.35">
      <c r="C44" s="61"/>
      <c r="D44" s="61"/>
      <c r="F44" s="64"/>
      <c r="G44" s="65"/>
      <c r="I44" s="61"/>
      <c r="J44" s="57"/>
      <c r="K44" s="58"/>
      <c r="L44" s="58"/>
      <c r="M44" s="59"/>
      <c r="N44" s="58"/>
      <c r="O44" s="60"/>
    </row>
    <row r="45" spans="3:15" x14ac:dyDescent="0.35">
      <c r="C45" s="61"/>
      <c r="D45" s="61"/>
      <c r="F45" s="64"/>
      <c r="G45" s="65"/>
      <c r="I45" s="61"/>
      <c r="J45" s="57"/>
      <c r="K45" s="191"/>
      <c r="L45" s="193"/>
      <c r="M45" s="191"/>
      <c r="N45" s="192"/>
      <c r="O45" s="193"/>
    </row>
    <row r="46" spans="3:15" x14ac:dyDescent="0.35">
      <c r="C46" s="61"/>
      <c r="D46" s="61"/>
      <c r="F46" s="64"/>
      <c r="G46" s="65"/>
      <c r="I46" s="61"/>
      <c r="J46" s="54"/>
      <c r="K46" s="191"/>
      <c r="L46" s="193"/>
      <c r="M46" s="191"/>
      <c r="N46" s="192"/>
      <c r="O46" s="193"/>
    </row>
    <row r="47" spans="3:15" x14ac:dyDescent="0.35">
      <c r="C47" s="61"/>
      <c r="D47" s="61"/>
      <c r="F47" s="64"/>
      <c r="G47" s="65"/>
      <c r="I47" s="61"/>
      <c r="J47" s="54"/>
      <c r="K47" s="191"/>
      <c r="L47" s="193"/>
      <c r="M47" s="191"/>
      <c r="N47" s="192"/>
      <c r="O47" s="193"/>
    </row>
    <row r="48" spans="3:15" x14ac:dyDescent="0.35">
      <c r="C48" s="61"/>
      <c r="D48" s="61"/>
      <c r="F48" s="64"/>
      <c r="G48" s="65"/>
      <c r="I48" s="61"/>
      <c r="J48" s="54"/>
      <c r="K48" s="191"/>
      <c r="L48" s="193"/>
      <c r="M48" s="191"/>
      <c r="N48" s="192"/>
      <c r="O48" s="193"/>
    </row>
    <row r="49" spans="3:15" x14ac:dyDescent="0.35">
      <c r="C49" s="61"/>
      <c r="D49" s="61"/>
      <c r="F49" s="64"/>
      <c r="G49" s="65"/>
      <c r="I49" s="61"/>
      <c r="J49" s="54"/>
      <c r="K49" s="191"/>
      <c r="L49" s="193"/>
      <c r="M49" s="191"/>
      <c r="N49" s="192"/>
      <c r="O49" s="193"/>
    </row>
    <row r="50" spans="3:15" x14ac:dyDescent="0.35">
      <c r="H50" s="209" t="s">
        <v>41</v>
      </c>
      <c r="I50" s="209"/>
      <c r="J50" s="209"/>
      <c r="K50" s="210"/>
      <c r="L50" s="46"/>
      <c r="M50" s="66"/>
    </row>
    <row r="51" spans="3:15" x14ac:dyDescent="0.35">
      <c r="H51" s="67" t="s">
        <v>42</v>
      </c>
      <c r="I51" s="67" t="s">
        <v>43</v>
      </c>
      <c r="J51" s="67" t="s">
        <v>44</v>
      </c>
      <c r="K51" s="210"/>
      <c r="L51" s="66"/>
    </row>
    <row r="52" spans="3:15" x14ac:dyDescent="0.35">
      <c r="F52" s="68"/>
      <c r="H52" s="42" t="s">
        <v>14</v>
      </c>
      <c r="I52" s="42" t="s">
        <v>15</v>
      </c>
      <c r="J52" s="68">
        <f>M5-O5-N5-L5+I5</f>
        <v>352899</v>
      </c>
      <c r="K52" s="69">
        <v>359515</v>
      </c>
      <c r="L52" s="70">
        <f>J52-K52</f>
        <v>-6616</v>
      </c>
      <c r="M52" s="68"/>
    </row>
    <row r="53" spans="3:15" x14ac:dyDescent="0.35">
      <c r="C53" s="211">
        <v>45931</v>
      </c>
      <c r="D53" s="211"/>
      <c r="E53" s="211"/>
      <c r="H53" s="42" t="s">
        <v>14</v>
      </c>
      <c r="I53" s="42" t="s">
        <v>17</v>
      </c>
      <c r="J53" s="68">
        <f>M6-O6-N6-L6+I6+G53</f>
        <v>3301305</v>
      </c>
      <c r="K53" s="69">
        <v>3301305</v>
      </c>
      <c r="L53" s="70">
        <f t="shared" ref="L53:L64" si="9">J53-K53</f>
        <v>0</v>
      </c>
      <c r="M53" s="68"/>
    </row>
    <row r="54" spans="3:15" x14ac:dyDescent="0.35">
      <c r="C54" s="212" t="s">
        <v>63</v>
      </c>
      <c r="D54" s="212"/>
      <c r="E54" s="212"/>
      <c r="H54" s="42" t="s">
        <v>14</v>
      </c>
      <c r="I54" s="42" t="s">
        <v>18</v>
      </c>
      <c r="J54" s="68">
        <f>M7-O7-N7-L7+I7+G54+I8</f>
        <v>1146097</v>
      </c>
      <c r="K54" s="69">
        <v>1013356</v>
      </c>
      <c r="L54" s="70">
        <f t="shared" si="9"/>
        <v>132741</v>
      </c>
    </row>
    <row r="55" spans="3:15" x14ac:dyDescent="0.35">
      <c r="C55" s="61" t="s">
        <v>64</v>
      </c>
      <c r="D55" s="213">
        <f>'Opening Balance FEB 2026'!J4</f>
        <v>1308640</v>
      </c>
      <c r="E55" s="214"/>
      <c r="H55" s="42" t="s">
        <v>14</v>
      </c>
      <c r="I55" s="42" t="s">
        <v>19</v>
      </c>
      <c r="J55" s="68">
        <f>M9-O9-N9-L9+I9+G55</f>
        <v>827092</v>
      </c>
      <c r="K55" s="69">
        <v>834711</v>
      </c>
      <c r="L55" s="70">
        <f t="shared" si="9"/>
        <v>-7619</v>
      </c>
    </row>
    <row r="56" spans="3:15" x14ac:dyDescent="0.35">
      <c r="C56" s="61" t="s">
        <v>65</v>
      </c>
      <c r="D56" s="213">
        <f>G40</f>
        <v>630417</v>
      </c>
      <c r="E56" s="214"/>
      <c r="H56" s="42" t="s">
        <v>14</v>
      </c>
      <c r="I56" s="42" t="s">
        <v>20</v>
      </c>
      <c r="J56" s="68">
        <f>M10-O10-N10-L10+I10+G56</f>
        <v>1109186</v>
      </c>
      <c r="K56" s="69">
        <v>1058186</v>
      </c>
      <c r="L56" s="70">
        <f t="shared" si="9"/>
        <v>51000</v>
      </c>
    </row>
    <row r="57" spans="3:15" x14ac:dyDescent="0.35">
      <c r="C57" s="71" t="s">
        <v>45</v>
      </c>
      <c r="D57" s="215">
        <f>D55+D56</f>
        <v>1939057</v>
      </c>
      <c r="E57" s="216"/>
      <c r="H57" s="42" t="s">
        <v>14</v>
      </c>
      <c r="I57" s="42" t="s">
        <v>21</v>
      </c>
      <c r="J57" s="68">
        <f>M11-O11-N11-L11+I11+G57</f>
        <v>454099</v>
      </c>
      <c r="K57" s="69">
        <v>470116</v>
      </c>
      <c r="L57" s="70">
        <f t="shared" si="9"/>
        <v>-16017</v>
      </c>
    </row>
    <row r="58" spans="3:15" x14ac:dyDescent="0.35">
      <c r="C58" s="61" t="s">
        <v>66</v>
      </c>
      <c r="D58" s="207">
        <v>0</v>
      </c>
      <c r="E58" s="208"/>
      <c r="H58" s="72" t="s">
        <v>45</v>
      </c>
      <c r="I58" s="72"/>
      <c r="J58" s="73">
        <f>SUM(J52:J57)</f>
        <v>7190678</v>
      </c>
      <c r="K58" s="74">
        <v>7190678</v>
      </c>
      <c r="L58" s="70">
        <f t="shared" si="9"/>
        <v>0</v>
      </c>
    </row>
    <row r="59" spans="3:15" x14ac:dyDescent="0.35">
      <c r="C59" s="61" t="s">
        <v>78</v>
      </c>
      <c r="D59" s="207">
        <v>0</v>
      </c>
      <c r="E59" s="208"/>
      <c r="H59" s="72"/>
      <c r="I59" s="72"/>
      <c r="J59" s="73"/>
      <c r="K59" s="75"/>
      <c r="L59" s="70"/>
    </row>
    <row r="60" spans="3:15" x14ac:dyDescent="0.35">
      <c r="C60" s="61" t="s">
        <v>75</v>
      </c>
      <c r="D60" s="207">
        <v>10000</v>
      </c>
      <c r="E60" s="208"/>
      <c r="H60" s="67" t="s">
        <v>42</v>
      </c>
      <c r="I60" s="67" t="s">
        <v>43</v>
      </c>
      <c r="J60" s="67" t="s">
        <v>44</v>
      </c>
      <c r="K60" s="66"/>
      <c r="L60" s="70"/>
    </row>
    <row r="61" spans="3:15" x14ac:dyDescent="0.35">
      <c r="C61" s="76" t="s">
        <v>83</v>
      </c>
      <c r="D61" s="217">
        <f>SUM(D58:E60)</f>
        <v>10000</v>
      </c>
      <c r="E61" s="218"/>
      <c r="H61" s="42" t="s">
        <v>46</v>
      </c>
      <c r="I61" s="42" t="s">
        <v>48</v>
      </c>
      <c r="J61" s="68">
        <f>M13-O13-N13-L13+I13</f>
        <v>435888</v>
      </c>
      <c r="K61" s="69">
        <v>282651</v>
      </c>
      <c r="L61" s="70">
        <f t="shared" si="9"/>
        <v>153237</v>
      </c>
    </row>
    <row r="62" spans="3:15" x14ac:dyDescent="0.35">
      <c r="C62" s="77" t="s">
        <v>67</v>
      </c>
      <c r="D62" s="219">
        <f>D57-D58-D60-D59</f>
        <v>1929057</v>
      </c>
      <c r="E62" s="220"/>
      <c r="H62" s="42" t="s">
        <v>46</v>
      </c>
      <c r="I62" s="42" t="s">
        <v>47</v>
      </c>
      <c r="J62" s="68">
        <f>M14-O14-N14-L14+I14</f>
        <v>1498768</v>
      </c>
      <c r="K62" s="69">
        <v>1508814</v>
      </c>
      <c r="L62" s="70">
        <f t="shared" si="9"/>
        <v>-10046</v>
      </c>
      <c r="N62" s="68"/>
    </row>
    <row r="63" spans="3:15" x14ac:dyDescent="0.35">
      <c r="C63" s="78" t="s">
        <v>68</v>
      </c>
      <c r="D63" s="221"/>
      <c r="E63" s="222"/>
      <c r="H63" s="42" t="s">
        <v>46</v>
      </c>
      <c r="I63" s="42" t="s">
        <v>15</v>
      </c>
      <c r="J63" s="68">
        <f>M16-O16-N16-L16+I16</f>
        <v>617689</v>
      </c>
      <c r="K63" s="69">
        <v>612306</v>
      </c>
      <c r="L63" s="70">
        <f t="shared" si="9"/>
        <v>5383</v>
      </c>
      <c r="M63" s="68"/>
      <c r="N63" s="68"/>
    </row>
    <row r="64" spans="3:15" x14ac:dyDescent="0.35">
      <c r="C64" s="61" t="s">
        <v>14</v>
      </c>
      <c r="D64" s="213">
        <v>0</v>
      </c>
      <c r="E64" s="214"/>
      <c r="H64" s="42" t="s">
        <v>46</v>
      </c>
      <c r="I64" s="42" t="s">
        <v>20</v>
      </c>
      <c r="J64" s="68">
        <v>8160</v>
      </c>
      <c r="K64" s="69">
        <v>8160</v>
      </c>
      <c r="L64" s="70">
        <f t="shared" si="9"/>
        <v>0</v>
      </c>
    </row>
    <row r="65" spans="3:14" x14ac:dyDescent="0.35">
      <c r="C65" s="61" t="s">
        <v>72</v>
      </c>
      <c r="D65" s="213">
        <v>0</v>
      </c>
      <c r="E65" s="214"/>
      <c r="H65" s="42" t="s">
        <v>27</v>
      </c>
      <c r="I65" s="42" t="s">
        <v>47</v>
      </c>
      <c r="J65" s="68">
        <f>M21-O21-N21-L21+I21</f>
        <v>51257</v>
      </c>
      <c r="K65" s="69">
        <v>51257</v>
      </c>
      <c r="L65" s="70">
        <f>J65-K65</f>
        <v>0</v>
      </c>
    </row>
    <row r="66" spans="3:14" x14ac:dyDescent="0.35">
      <c r="C66" s="61" t="s">
        <v>69</v>
      </c>
      <c r="D66" s="213">
        <v>0</v>
      </c>
      <c r="E66" s="214"/>
      <c r="H66" s="72" t="s">
        <v>45</v>
      </c>
      <c r="I66" s="72"/>
      <c r="J66" s="73">
        <f>SUM(J61:J65)</f>
        <v>2611762</v>
      </c>
      <c r="K66" s="69">
        <f>SUM(K61:K65)</f>
        <v>2463188</v>
      </c>
      <c r="L66" s="70">
        <f>J66-K66</f>
        <v>148574</v>
      </c>
    </row>
    <row r="67" spans="3:14" x14ac:dyDescent="0.35">
      <c r="C67" s="61" t="s">
        <v>70</v>
      </c>
      <c r="D67" s="213">
        <v>0</v>
      </c>
      <c r="E67" s="214"/>
      <c r="F67" s="68"/>
      <c r="H67" s="67" t="s">
        <v>42</v>
      </c>
      <c r="I67" s="67" t="s">
        <v>43</v>
      </c>
      <c r="J67" s="67" t="s">
        <v>44</v>
      </c>
    </row>
    <row r="68" spans="3:14" x14ac:dyDescent="0.35">
      <c r="C68" s="61" t="s">
        <v>71</v>
      </c>
      <c r="D68" s="213">
        <v>0</v>
      </c>
      <c r="E68" s="214"/>
      <c r="F68" s="79"/>
      <c r="G68" s="80"/>
      <c r="H68" s="42" t="s">
        <v>49</v>
      </c>
      <c r="I68" s="42" t="s">
        <v>51</v>
      </c>
      <c r="J68" s="68">
        <f>M29-O29-N29-L29+I29+G68</f>
        <v>1445259</v>
      </c>
      <c r="K68" s="69">
        <v>1380437</v>
      </c>
      <c r="L68" s="70">
        <f t="shared" ref="L68:L74" si="10">J68-K68</f>
        <v>64822</v>
      </c>
      <c r="N68" s="68"/>
    </row>
    <row r="69" spans="3:14" x14ac:dyDescent="0.35">
      <c r="C69" s="77" t="s">
        <v>73</v>
      </c>
      <c r="D69" s="219">
        <f>SUM(D64:D68)</f>
        <v>0</v>
      </c>
      <c r="E69" s="220"/>
      <c r="F69" s="68"/>
      <c r="H69" s="42" t="s">
        <v>49</v>
      </c>
      <c r="I69" s="42" t="s">
        <v>18</v>
      </c>
      <c r="J69" s="68">
        <f>M30-O30-N30-L30+I30</f>
        <v>174473</v>
      </c>
      <c r="K69" s="69">
        <v>174473</v>
      </c>
      <c r="L69" s="70">
        <f t="shared" si="10"/>
        <v>0</v>
      </c>
    </row>
    <row r="70" spans="3:14" x14ac:dyDescent="0.35">
      <c r="C70" s="81" t="s">
        <v>74</v>
      </c>
      <c r="D70" s="223">
        <f>D62-D69</f>
        <v>1929057</v>
      </c>
      <c r="E70" s="224"/>
      <c r="F70" s="68"/>
      <c r="H70" s="42" t="s">
        <v>49</v>
      </c>
      <c r="I70" s="42" t="s">
        <v>15</v>
      </c>
      <c r="J70" s="68">
        <f>M31-O31-N31-L31+I31</f>
        <v>35126</v>
      </c>
      <c r="K70" s="69">
        <v>35126</v>
      </c>
      <c r="L70" s="70">
        <f t="shared" si="10"/>
        <v>0</v>
      </c>
    </row>
    <row r="71" spans="3:14" x14ac:dyDescent="0.35">
      <c r="C71" s="61"/>
      <c r="D71" s="213">
        <v>3102990</v>
      </c>
      <c r="E71" s="214"/>
      <c r="H71" s="42" t="s">
        <v>49</v>
      </c>
      <c r="I71" s="42" t="s">
        <v>50</v>
      </c>
      <c r="J71" s="68">
        <f>M32-O32-N32-L32+I32+G71</f>
        <v>1410128</v>
      </c>
      <c r="K71" s="69">
        <v>1281692</v>
      </c>
      <c r="L71" s="70">
        <f t="shared" si="10"/>
        <v>128436</v>
      </c>
    </row>
    <row r="72" spans="3:14" x14ac:dyDescent="0.35">
      <c r="C72" s="61"/>
      <c r="D72" s="213">
        <f>D70-D71</f>
        <v>-1173933</v>
      </c>
      <c r="E72" s="214"/>
      <c r="H72" s="42" t="s">
        <v>49</v>
      </c>
      <c r="I72" s="42" t="s">
        <v>20</v>
      </c>
      <c r="J72" s="68">
        <f>'Opening Balance FEB 2026'!F24</f>
        <v>66046</v>
      </c>
      <c r="K72" s="69">
        <v>96296</v>
      </c>
      <c r="L72" s="70">
        <f t="shared" si="10"/>
        <v>-30250</v>
      </c>
    </row>
    <row r="73" spans="3:14" x14ac:dyDescent="0.35">
      <c r="H73" s="42" t="s">
        <v>49</v>
      </c>
      <c r="I73" s="42" t="s">
        <v>47</v>
      </c>
      <c r="J73" s="68">
        <f>'Opening Balance FEB 2026'!F25</f>
        <v>23570</v>
      </c>
      <c r="K73" s="69">
        <v>23570</v>
      </c>
      <c r="L73" s="70">
        <f t="shared" si="10"/>
        <v>0</v>
      </c>
    </row>
    <row r="74" spans="3:14" x14ac:dyDescent="0.35">
      <c r="H74" s="72" t="s">
        <v>45</v>
      </c>
      <c r="I74" s="72"/>
      <c r="J74" s="73">
        <f>SUM(J68:J73)</f>
        <v>3154602</v>
      </c>
      <c r="K74" s="69">
        <v>3179852</v>
      </c>
      <c r="L74" s="70">
        <f t="shared" si="10"/>
        <v>-25250</v>
      </c>
      <c r="N74" s="68"/>
    </row>
    <row r="75" spans="3:14" x14ac:dyDescent="0.35">
      <c r="H75" s="67" t="s">
        <v>42</v>
      </c>
      <c r="I75" s="67" t="s">
        <v>43</v>
      </c>
      <c r="J75" s="67" t="s">
        <v>44</v>
      </c>
    </row>
    <row r="76" spans="3:14" x14ac:dyDescent="0.35">
      <c r="H76" s="42" t="s">
        <v>52</v>
      </c>
      <c r="I76" s="42" t="s">
        <v>53</v>
      </c>
      <c r="J76" s="68">
        <f>M23-O23-N23-L23+I23-G75</f>
        <v>33969</v>
      </c>
      <c r="K76" s="68">
        <v>33969</v>
      </c>
      <c r="L76" s="70">
        <f>J76-K76</f>
        <v>0</v>
      </c>
    </row>
    <row r="77" spans="3:14" x14ac:dyDescent="0.35">
      <c r="H77" s="42" t="s">
        <v>52</v>
      </c>
      <c r="I77" s="42" t="s">
        <v>47</v>
      </c>
      <c r="J77" s="68">
        <f>M24-O24-N24-L24+I24</f>
        <v>160846</v>
      </c>
      <c r="K77" s="82">
        <v>33969</v>
      </c>
      <c r="L77" s="70">
        <f>J77-K77</f>
        <v>126877</v>
      </c>
    </row>
    <row r="78" spans="3:14" x14ac:dyDescent="0.35">
      <c r="H78" s="72" t="s">
        <v>45</v>
      </c>
      <c r="I78" s="72"/>
      <c r="J78" s="73">
        <f>SUM(J76:J77)</f>
        <v>194815</v>
      </c>
      <c r="K78" s="68">
        <v>160846</v>
      </c>
      <c r="L78" s="70">
        <f>J78-K78</f>
        <v>33969</v>
      </c>
    </row>
    <row r="79" spans="3:14" x14ac:dyDescent="0.35">
      <c r="G79" s="42">
        <v>0</v>
      </c>
      <c r="H79" s="67" t="s">
        <v>42</v>
      </c>
      <c r="I79" s="67" t="s">
        <v>43</v>
      </c>
      <c r="J79" s="67" t="s">
        <v>44</v>
      </c>
      <c r="K79" s="69">
        <v>0</v>
      </c>
      <c r="L79" s="70"/>
    </row>
    <row r="80" spans="3:14" x14ac:dyDescent="0.35">
      <c r="H80" s="42" t="s">
        <v>54</v>
      </c>
      <c r="I80" s="42" t="s">
        <v>53</v>
      </c>
      <c r="J80" s="68">
        <f>M26-O26-N26-L26+I26-G79</f>
        <v>89658</v>
      </c>
      <c r="K80" s="69">
        <v>89658</v>
      </c>
      <c r="L80" s="70">
        <f>J80-K80</f>
        <v>0</v>
      </c>
    </row>
    <row r="81" spans="4:12" x14ac:dyDescent="0.35">
      <c r="H81" s="42" t="s">
        <v>54</v>
      </c>
      <c r="I81" s="42" t="s">
        <v>18</v>
      </c>
      <c r="J81" s="68">
        <f>M27-O27-N27-L27+I27</f>
        <v>42000</v>
      </c>
      <c r="K81" s="69">
        <v>67000</v>
      </c>
      <c r="L81" s="70">
        <f>J81-K81</f>
        <v>-25000</v>
      </c>
    </row>
    <row r="82" spans="4:12" x14ac:dyDescent="0.35">
      <c r="H82" s="72" t="s">
        <v>45</v>
      </c>
      <c r="I82" s="72"/>
      <c r="J82" s="73">
        <f>SUM(J80:J81)</f>
        <v>131658</v>
      </c>
      <c r="K82" s="68">
        <f>SUM(K79:K81)</f>
        <v>156658</v>
      </c>
      <c r="L82" s="70">
        <f>J82-K82</f>
        <v>-25000</v>
      </c>
    </row>
    <row r="83" spans="4:12" x14ac:dyDescent="0.35">
      <c r="H83" s="67" t="s">
        <v>42</v>
      </c>
      <c r="I83" s="67" t="s">
        <v>43</v>
      </c>
      <c r="J83" s="67" t="s">
        <v>44</v>
      </c>
      <c r="K83" s="69">
        <v>0</v>
      </c>
      <c r="L83" s="70"/>
    </row>
    <row r="84" spans="4:12" x14ac:dyDescent="0.35">
      <c r="H84" s="42" t="s">
        <v>55</v>
      </c>
      <c r="I84" s="42" t="s">
        <v>56</v>
      </c>
      <c r="J84" s="68">
        <f>'Opening Balance FEB 2026'!F36</f>
        <v>103541</v>
      </c>
      <c r="K84" s="69">
        <v>103541</v>
      </c>
      <c r="L84" s="70">
        <f>J84-K84</f>
        <v>0</v>
      </c>
    </row>
    <row r="85" spans="4:12" x14ac:dyDescent="0.35">
      <c r="H85" s="42" t="s">
        <v>55</v>
      </c>
      <c r="I85" s="42" t="s">
        <v>47</v>
      </c>
      <c r="J85" s="68">
        <f>'Opening Balance FEB 2026'!F37</f>
        <v>6013</v>
      </c>
      <c r="K85" s="69">
        <v>6013</v>
      </c>
      <c r="L85" s="70">
        <f>J85-K85</f>
        <v>0</v>
      </c>
    </row>
    <row r="86" spans="4:12" x14ac:dyDescent="0.35">
      <c r="H86" s="72" t="s">
        <v>45</v>
      </c>
      <c r="I86" s="72"/>
      <c r="J86" s="73">
        <v>109554</v>
      </c>
      <c r="K86" s="68">
        <f>SUM(K83:K85)</f>
        <v>109554</v>
      </c>
      <c r="L86" s="70">
        <f>J86-K86</f>
        <v>0</v>
      </c>
    </row>
    <row r="87" spans="4:12" x14ac:dyDescent="0.35">
      <c r="H87" s="67" t="s">
        <v>42</v>
      </c>
      <c r="I87" s="67" t="s">
        <v>43</v>
      </c>
      <c r="J87" s="67" t="s">
        <v>44</v>
      </c>
      <c r="K87" s="69">
        <v>0</v>
      </c>
      <c r="L87" s="70"/>
    </row>
    <row r="88" spans="4:12" x14ac:dyDescent="0.35">
      <c r="H88" s="42" t="s">
        <v>57</v>
      </c>
      <c r="I88" s="42" t="s">
        <v>47</v>
      </c>
      <c r="J88" s="68">
        <f>'Opening Balance FEB 2026'!F40</f>
        <v>16440</v>
      </c>
      <c r="K88" s="69">
        <v>16440</v>
      </c>
      <c r="L88" s="70">
        <f>J88-K88</f>
        <v>0</v>
      </c>
    </row>
    <row r="89" spans="4:12" x14ac:dyDescent="0.35">
      <c r="H89" s="72" t="s">
        <v>45</v>
      </c>
      <c r="I89" s="72"/>
      <c r="J89" s="73">
        <v>16440</v>
      </c>
      <c r="K89" s="69">
        <f>SUM(K87:K88)</f>
        <v>16440</v>
      </c>
    </row>
    <row r="90" spans="4:12" x14ac:dyDescent="0.35">
      <c r="J90" s="68"/>
    </row>
    <row r="91" spans="4:12" x14ac:dyDescent="0.35">
      <c r="H91" s="83" t="s">
        <v>58</v>
      </c>
      <c r="I91" s="83"/>
      <c r="J91" s="84">
        <f>J89+J86+J82+J78+J74+J66+J58</f>
        <v>13409509</v>
      </c>
    </row>
    <row r="93" spans="4:12" x14ac:dyDescent="0.35">
      <c r="D93" s="85" t="s">
        <v>82</v>
      </c>
      <c r="E93" s="85"/>
      <c r="F93" s="85"/>
      <c r="G93" s="85"/>
      <c r="H93" s="85"/>
    </row>
    <row r="94" spans="4:12" x14ac:dyDescent="0.35">
      <c r="D94" s="78" t="s">
        <v>42</v>
      </c>
      <c r="E94" s="78" t="s">
        <v>43</v>
      </c>
      <c r="F94" s="78" t="s">
        <v>79</v>
      </c>
      <c r="G94" s="78" t="s">
        <v>80</v>
      </c>
      <c r="H94" s="78" t="s">
        <v>81</v>
      </c>
    </row>
    <row r="95" spans="4:12" x14ac:dyDescent="0.35">
      <c r="D95" s="61" t="s">
        <v>14</v>
      </c>
      <c r="E95" s="61" t="s">
        <v>15</v>
      </c>
      <c r="F95" s="86">
        <f>H5</f>
        <v>87373</v>
      </c>
      <c r="G95" s="86">
        <f>O5</f>
        <v>41122</v>
      </c>
      <c r="H95" s="86">
        <f>I5</f>
        <v>34506</v>
      </c>
    </row>
    <row r="96" spans="4:12" x14ac:dyDescent="0.35">
      <c r="D96" s="61" t="s">
        <v>14</v>
      </c>
      <c r="E96" s="61" t="s">
        <v>17</v>
      </c>
      <c r="F96" s="86">
        <f>H6</f>
        <v>0</v>
      </c>
      <c r="G96" s="86">
        <f>O6</f>
        <v>0</v>
      </c>
      <c r="H96" s="86">
        <f>I6</f>
        <v>0</v>
      </c>
    </row>
    <row r="97" spans="4:8" x14ac:dyDescent="0.35">
      <c r="D97" s="61" t="s">
        <v>14</v>
      </c>
      <c r="E97" s="61" t="s">
        <v>18</v>
      </c>
      <c r="F97" s="86">
        <f>H7</f>
        <v>112872</v>
      </c>
      <c r="G97" s="86">
        <f>O7</f>
        <v>40570</v>
      </c>
      <c r="H97" s="86">
        <f>I7</f>
        <v>107869</v>
      </c>
    </row>
    <row r="98" spans="4:8" x14ac:dyDescent="0.35">
      <c r="D98" s="61" t="s">
        <v>14</v>
      </c>
      <c r="E98" s="61" t="s">
        <v>19</v>
      </c>
      <c r="F98" s="86">
        <f>H9</f>
        <v>51794</v>
      </c>
      <c r="G98" s="86">
        <f>O9</f>
        <v>44129</v>
      </c>
      <c r="H98" s="86">
        <f>I9</f>
        <v>36510</v>
      </c>
    </row>
    <row r="99" spans="4:8" x14ac:dyDescent="0.35">
      <c r="D99" s="61" t="s">
        <v>14</v>
      </c>
      <c r="E99" s="61" t="s">
        <v>20</v>
      </c>
      <c r="F99" s="86">
        <f>H10</f>
        <v>89864</v>
      </c>
      <c r="G99" s="86">
        <f>O10</f>
        <v>28373</v>
      </c>
      <c r="H99" s="86">
        <f>I10</f>
        <v>79373</v>
      </c>
    </row>
    <row r="100" spans="4:8" x14ac:dyDescent="0.35">
      <c r="D100" s="61" t="s">
        <v>14</v>
      </c>
      <c r="E100" s="61" t="s">
        <v>21</v>
      </c>
      <c r="F100" s="86" t="e">
        <f>H11+#REF!</f>
        <v>#REF!</v>
      </c>
      <c r="G100" s="86">
        <f>O11</f>
        <v>42946</v>
      </c>
      <c r="H100" s="86">
        <f>I11</f>
        <v>26929</v>
      </c>
    </row>
    <row r="101" spans="4:8" x14ac:dyDescent="0.35">
      <c r="D101" s="87" t="s">
        <v>45</v>
      </c>
      <c r="E101" s="87"/>
      <c r="F101" s="88" t="e">
        <f>SUM(F95:F100)</f>
        <v>#REF!</v>
      </c>
      <c r="G101" s="88">
        <f t="shared" ref="G101" si="11">SUM(G95:G100)</f>
        <v>197140</v>
      </c>
      <c r="H101" s="88">
        <f>SUM(H95:H100)</f>
        <v>285187</v>
      </c>
    </row>
    <row r="102" spans="4:8" x14ac:dyDescent="0.35">
      <c r="D102" s="78" t="s">
        <v>42</v>
      </c>
      <c r="E102" s="78" t="s">
        <v>43</v>
      </c>
      <c r="F102" s="89" t="s">
        <v>79</v>
      </c>
      <c r="G102" s="89" t="s">
        <v>80</v>
      </c>
      <c r="H102" s="89" t="s">
        <v>81</v>
      </c>
    </row>
    <row r="103" spans="4:8" x14ac:dyDescent="0.35">
      <c r="D103" s="61" t="s">
        <v>46</v>
      </c>
      <c r="E103" s="61" t="s">
        <v>48</v>
      </c>
      <c r="F103" s="86">
        <f>H13</f>
        <v>252943</v>
      </c>
      <c r="G103" s="86">
        <f>O13</f>
        <v>33057</v>
      </c>
      <c r="H103" s="86">
        <f>I13</f>
        <v>230037</v>
      </c>
    </row>
    <row r="104" spans="4:8" x14ac:dyDescent="0.35">
      <c r="D104" s="61" t="s">
        <v>46</v>
      </c>
      <c r="E104" s="61" t="s">
        <v>47</v>
      </c>
      <c r="F104" s="86">
        <f>H14</f>
        <v>59685</v>
      </c>
      <c r="G104" s="86">
        <f>O14</f>
        <v>0</v>
      </c>
      <c r="H104" s="86">
        <f>I14</f>
        <v>51512</v>
      </c>
    </row>
    <row r="105" spans="4:8" x14ac:dyDescent="0.35">
      <c r="D105" s="61" t="s">
        <v>27</v>
      </c>
      <c r="E105" s="61" t="s">
        <v>47</v>
      </c>
      <c r="F105" s="86">
        <v>0</v>
      </c>
      <c r="G105" s="86">
        <v>0</v>
      </c>
      <c r="H105" s="86">
        <v>0</v>
      </c>
    </row>
    <row r="106" spans="4:8" x14ac:dyDescent="0.35">
      <c r="D106" s="87" t="s">
        <v>45</v>
      </c>
      <c r="E106" s="87"/>
      <c r="F106" s="88">
        <f>SUM(F103:F105)</f>
        <v>312628</v>
      </c>
      <c r="G106" s="88">
        <f>SUM(G103:G105)</f>
        <v>33057</v>
      </c>
      <c r="H106" s="88">
        <f>SUM(H103:H105)</f>
        <v>281549</v>
      </c>
    </row>
    <row r="107" spans="4:8" x14ac:dyDescent="0.35">
      <c r="D107" s="78" t="s">
        <v>42</v>
      </c>
      <c r="E107" s="78" t="s">
        <v>43</v>
      </c>
      <c r="F107" s="89" t="s">
        <v>79</v>
      </c>
      <c r="G107" s="89" t="s">
        <v>80</v>
      </c>
      <c r="H107" s="89" t="s">
        <v>81</v>
      </c>
    </row>
    <row r="108" spans="4:8" x14ac:dyDescent="0.35">
      <c r="D108" s="61" t="s">
        <v>49</v>
      </c>
      <c r="E108" s="61" t="s">
        <v>51</v>
      </c>
      <c r="F108" s="86">
        <f>H29</f>
        <v>24897</v>
      </c>
      <c r="G108" s="86">
        <f>O29</f>
        <v>69021</v>
      </c>
      <c r="H108" s="86">
        <f>I29</f>
        <v>22417</v>
      </c>
    </row>
    <row r="109" spans="4:8" x14ac:dyDescent="0.35">
      <c r="D109" s="61" t="s">
        <v>49</v>
      </c>
      <c r="E109" s="61" t="s">
        <v>18</v>
      </c>
      <c r="F109" s="86">
        <f>H30</f>
        <v>0</v>
      </c>
      <c r="G109" s="86">
        <f>O30</f>
        <v>0</v>
      </c>
      <c r="H109" s="86">
        <v>0</v>
      </c>
    </row>
    <row r="110" spans="4:8" x14ac:dyDescent="0.35">
      <c r="D110" s="61" t="s">
        <v>49</v>
      </c>
      <c r="E110" s="61" t="s">
        <v>50</v>
      </c>
      <c r="F110" s="86" t="e">
        <f>#REF!+#REF!</f>
        <v>#REF!</v>
      </c>
      <c r="G110" s="86" t="e">
        <f>#REF!</f>
        <v>#REF!</v>
      </c>
      <c r="H110" s="86" t="e">
        <f>#REF!+#REF!</f>
        <v>#REF!</v>
      </c>
    </row>
    <row r="111" spans="4:8" x14ac:dyDescent="0.35">
      <c r="D111" s="87" t="s">
        <v>45</v>
      </c>
      <c r="E111" s="87"/>
      <c r="F111" s="88" t="e">
        <f>SUM(F108:F110)</f>
        <v>#REF!</v>
      </c>
      <c r="G111" s="88" t="e">
        <f>SUM(G108:G110)</f>
        <v>#REF!</v>
      </c>
      <c r="H111" s="88" t="e">
        <f>SUM(H108:H110)</f>
        <v>#REF!</v>
      </c>
    </row>
    <row r="112" spans="4:8" x14ac:dyDescent="0.35">
      <c r="D112" s="78" t="s">
        <v>42</v>
      </c>
      <c r="E112" s="78" t="s">
        <v>43</v>
      </c>
      <c r="F112" s="89" t="s">
        <v>79</v>
      </c>
      <c r="G112" s="89" t="s">
        <v>80</v>
      </c>
      <c r="H112" s="89" t="s">
        <v>81</v>
      </c>
    </row>
    <row r="113" spans="4:8" x14ac:dyDescent="0.35">
      <c r="D113" s="61" t="s">
        <v>52</v>
      </c>
      <c r="E113" s="61" t="s">
        <v>53</v>
      </c>
      <c r="F113" s="86">
        <f>H23</f>
        <v>0</v>
      </c>
      <c r="G113" s="86">
        <f>O23</f>
        <v>0</v>
      </c>
      <c r="H113" s="86">
        <f>I23</f>
        <v>0</v>
      </c>
    </row>
    <row r="114" spans="4:8" x14ac:dyDescent="0.35">
      <c r="D114" s="87" t="s">
        <v>45</v>
      </c>
      <c r="E114" s="87"/>
      <c r="F114" s="88">
        <f>SUM(F113)</f>
        <v>0</v>
      </c>
      <c r="G114" s="88">
        <f t="shared" ref="G114" si="12">SUM(G113)</f>
        <v>0</v>
      </c>
      <c r="H114" s="88">
        <f>SUM(H113)</f>
        <v>0</v>
      </c>
    </row>
    <row r="115" spans="4:8" x14ac:dyDescent="0.35">
      <c r="D115" s="78" t="s">
        <v>42</v>
      </c>
      <c r="E115" s="78" t="s">
        <v>43</v>
      </c>
      <c r="F115" s="89" t="s">
        <v>79</v>
      </c>
      <c r="G115" s="89" t="s">
        <v>80</v>
      </c>
      <c r="H115" s="89" t="s">
        <v>81</v>
      </c>
    </row>
    <row r="116" spans="4:8" x14ac:dyDescent="0.35">
      <c r="D116" s="61" t="s">
        <v>54</v>
      </c>
      <c r="E116" s="61" t="s">
        <v>53</v>
      </c>
      <c r="F116" s="86">
        <f>H26</f>
        <v>0</v>
      </c>
      <c r="G116" s="86">
        <f>O26</f>
        <v>0</v>
      </c>
      <c r="H116" s="86">
        <f>I26</f>
        <v>0</v>
      </c>
    </row>
    <row r="117" spans="4:8" x14ac:dyDescent="0.35">
      <c r="D117" s="61" t="s">
        <v>54</v>
      </c>
      <c r="E117" s="61" t="s">
        <v>18</v>
      </c>
      <c r="F117" s="86">
        <f>H27</f>
        <v>0</v>
      </c>
      <c r="G117" s="86">
        <f>O27</f>
        <v>0</v>
      </c>
      <c r="H117" s="86">
        <f>I27</f>
        <v>0</v>
      </c>
    </row>
    <row r="118" spans="4:8" x14ac:dyDescent="0.35">
      <c r="D118" s="87" t="s">
        <v>45</v>
      </c>
      <c r="E118" s="87"/>
      <c r="F118" s="88">
        <f>SUM(F116:F117)</f>
        <v>0</v>
      </c>
      <c r="G118" s="88">
        <f t="shared" ref="G118" si="13">SUM(G116:G117)</f>
        <v>0</v>
      </c>
      <c r="H118" s="88">
        <f>SUM(H116:H117)</f>
        <v>0</v>
      </c>
    </row>
    <row r="119" spans="4:8" x14ac:dyDescent="0.35">
      <c r="D119" s="90"/>
      <c r="E119" s="90"/>
      <c r="F119" s="91" t="e">
        <f>F118+F114+F111+F106+F101</f>
        <v>#REF!</v>
      </c>
      <c r="G119" s="91" t="e">
        <f t="shared" ref="G119" si="14">G118+G114+G111+G106+G101</f>
        <v>#REF!</v>
      </c>
      <c r="H119" s="91" t="e">
        <f>H118+H114+H111+H106+H101</f>
        <v>#REF!</v>
      </c>
    </row>
  </sheetData>
  <mergeCells count="43">
    <mergeCell ref="M45:O45"/>
    <mergeCell ref="C2:O2"/>
    <mergeCell ref="C3:O3"/>
    <mergeCell ref="H35:I35"/>
    <mergeCell ref="K36:L36"/>
    <mergeCell ref="M36:O36"/>
    <mergeCell ref="C37:D37"/>
    <mergeCell ref="K37:L37"/>
    <mergeCell ref="K38:L38"/>
    <mergeCell ref="K39:L39"/>
    <mergeCell ref="K40:L40"/>
    <mergeCell ref="K41:L41"/>
    <mergeCell ref="K45:L45"/>
    <mergeCell ref="K46:L46"/>
    <mergeCell ref="M46:O46"/>
    <mergeCell ref="K47:L47"/>
    <mergeCell ref="M47:O47"/>
    <mergeCell ref="K48:L48"/>
    <mergeCell ref="M48:O48"/>
    <mergeCell ref="D60:E60"/>
    <mergeCell ref="K49:L49"/>
    <mergeCell ref="M49:O49"/>
    <mergeCell ref="H50:J50"/>
    <mergeCell ref="K50:K51"/>
    <mergeCell ref="C53:E53"/>
    <mergeCell ref="C54:E54"/>
    <mergeCell ref="D55:E55"/>
    <mergeCell ref="D56:E56"/>
    <mergeCell ref="D57:E57"/>
    <mergeCell ref="D58:E58"/>
    <mergeCell ref="D59:E59"/>
    <mergeCell ref="D72:E72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20"/>
  <sheetViews>
    <sheetView topLeftCell="A19" zoomScale="60" zoomScaleNormal="60" workbookViewId="0">
      <selection activeCell="N80" sqref="N80"/>
    </sheetView>
  </sheetViews>
  <sheetFormatPr defaultRowHeight="21" x14ac:dyDescent="0.35"/>
  <cols>
    <col min="1" max="1" width="5.5703125" style="42" customWidth="1"/>
    <col min="2" max="2" width="0.140625" style="42" hidden="1" customWidth="1"/>
    <col min="3" max="3" width="20.85546875" style="42" customWidth="1"/>
    <col min="4" max="4" width="25.42578125" style="42" customWidth="1"/>
    <col min="5" max="5" width="17.140625" style="42" customWidth="1"/>
    <col min="6" max="6" width="20.85546875" style="42" customWidth="1"/>
    <col min="7" max="7" width="21" style="42" customWidth="1"/>
    <col min="8" max="8" width="22.140625" style="42" bestFit="1" customWidth="1"/>
    <col min="9" max="9" width="22.85546875" style="42" bestFit="1" customWidth="1"/>
    <col min="10" max="10" width="21.42578125" style="42" customWidth="1"/>
    <col min="11" max="11" width="20.85546875" style="42" customWidth="1"/>
    <col min="12" max="12" width="21.140625" style="42" customWidth="1"/>
    <col min="13" max="13" width="26.140625" style="42" bestFit="1" customWidth="1"/>
    <col min="14" max="14" width="15.7109375" style="42" customWidth="1"/>
    <col min="15" max="15" width="22" style="42" customWidth="1"/>
    <col min="16" max="16" width="7.5703125" style="42" customWidth="1"/>
    <col min="17" max="17" width="14.28515625" style="42" bestFit="1" customWidth="1"/>
    <col min="18" max="18" width="11.42578125" style="42" customWidth="1"/>
    <col min="19" max="16384" width="9.140625" style="42"/>
  </cols>
  <sheetData>
    <row r="2" spans="1:16" x14ac:dyDescent="0.35">
      <c r="C2" s="194">
        <v>46084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6"/>
    </row>
    <row r="3" spans="1:16" x14ac:dyDescent="0.35">
      <c r="C3" s="197" t="s">
        <v>0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6" ht="84" x14ac:dyDescent="0.35">
      <c r="A4" s="95"/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  <c r="J4" s="40" t="s">
        <v>8</v>
      </c>
      <c r="K4" s="43" t="s">
        <v>9</v>
      </c>
      <c r="L4" s="43" t="s">
        <v>10</v>
      </c>
      <c r="M4" s="44" t="s">
        <v>11</v>
      </c>
      <c r="N4" s="45" t="s">
        <v>12</v>
      </c>
      <c r="O4" s="40" t="s">
        <v>13</v>
      </c>
    </row>
    <row r="5" spans="1:16" x14ac:dyDescent="0.35">
      <c r="A5" s="46"/>
      <c r="C5" s="37" t="s">
        <v>14</v>
      </c>
      <c r="D5" s="38" t="s">
        <v>15</v>
      </c>
      <c r="E5" s="39" t="s">
        <v>92</v>
      </c>
      <c r="F5" s="27">
        <v>67808</v>
      </c>
      <c r="G5" s="27">
        <v>2054</v>
      </c>
      <c r="H5" s="28">
        <f>F5-G5</f>
        <v>65754</v>
      </c>
      <c r="I5" s="28">
        <f>H5-J5</f>
        <v>23341</v>
      </c>
      <c r="J5" s="25">
        <v>42413</v>
      </c>
      <c r="K5" s="29">
        <v>1624</v>
      </c>
      <c r="L5" s="25">
        <v>5000</v>
      </c>
      <c r="M5" s="27">
        <f>'02-03-2026'!J52</f>
        <v>352899</v>
      </c>
      <c r="N5" s="29">
        <v>0</v>
      </c>
      <c r="O5" s="30">
        <v>39440</v>
      </c>
      <c r="P5" s="47"/>
    </row>
    <row r="6" spans="1:16" x14ac:dyDescent="0.35">
      <c r="A6" s="46"/>
      <c r="C6" s="37" t="s">
        <v>14</v>
      </c>
      <c r="D6" s="38" t="s">
        <v>15</v>
      </c>
      <c r="E6" s="39" t="s">
        <v>96</v>
      </c>
      <c r="F6" s="27">
        <v>41683</v>
      </c>
      <c r="G6" s="27">
        <v>3220</v>
      </c>
      <c r="H6" s="28">
        <f t="shared" ref="H6:H11" si="0">F6-G6</f>
        <v>38463</v>
      </c>
      <c r="I6" s="28">
        <f t="shared" ref="I6:I11" si="1">H6-J6</f>
        <v>25650</v>
      </c>
      <c r="J6" s="25">
        <v>12813</v>
      </c>
      <c r="K6" s="29">
        <v>0</v>
      </c>
      <c r="L6" s="25">
        <v>10000</v>
      </c>
      <c r="M6" s="27">
        <v>0</v>
      </c>
      <c r="N6" s="29">
        <v>0</v>
      </c>
      <c r="O6" s="30">
        <v>0</v>
      </c>
      <c r="P6" s="46"/>
    </row>
    <row r="7" spans="1:16" x14ac:dyDescent="0.35">
      <c r="A7" s="46"/>
      <c r="C7" s="37" t="s">
        <v>14</v>
      </c>
      <c r="D7" s="38" t="s">
        <v>17</v>
      </c>
      <c r="E7" s="39" t="s">
        <v>16</v>
      </c>
      <c r="F7" s="27">
        <v>0</v>
      </c>
      <c r="G7" s="27">
        <v>0</v>
      </c>
      <c r="H7" s="28">
        <f t="shared" si="0"/>
        <v>0</v>
      </c>
      <c r="I7" s="28">
        <f t="shared" si="1"/>
        <v>0</v>
      </c>
      <c r="J7" s="25">
        <v>0</v>
      </c>
      <c r="K7" s="29">
        <v>0</v>
      </c>
      <c r="L7" s="25">
        <v>0</v>
      </c>
      <c r="M7" s="27">
        <f>'02-03-2026'!J53</f>
        <v>3301305</v>
      </c>
      <c r="N7" s="29">
        <v>0</v>
      </c>
      <c r="O7" s="30">
        <v>195000</v>
      </c>
    </row>
    <row r="8" spans="1:16" x14ac:dyDescent="0.35">
      <c r="A8" s="46"/>
      <c r="C8" s="37" t="s">
        <v>14</v>
      </c>
      <c r="D8" s="38" t="s">
        <v>18</v>
      </c>
      <c r="E8" s="39" t="s">
        <v>92</v>
      </c>
      <c r="F8" s="27">
        <v>100132</v>
      </c>
      <c r="G8" s="27">
        <v>1387</v>
      </c>
      <c r="H8" s="28">
        <f t="shared" si="0"/>
        <v>98745</v>
      </c>
      <c r="I8" s="28">
        <f t="shared" si="1"/>
        <v>50137</v>
      </c>
      <c r="J8" s="25">
        <v>48608</v>
      </c>
      <c r="K8" s="29">
        <v>0</v>
      </c>
      <c r="L8" s="25">
        <v>0</v>
      </c>
      <c r="M8" s="27">
        <f>'02-03-2026'!J54</f>
        <v>1146097</v>
      </c>
      <c r="N8" s="29">
        <v>0</v>
      </c>
      <c r="O8" s="30">
        <v>70596</v>
      </c>
    </row>
    <row r="9" spans="1:16" x14ac:dyDescent="0.35">
      <c r="A9" s="46"/>
      <c r="C9" s="37" t="s">
        <v>14</v>
      </c>
      <c r="D9" s="38" t="s">
        <v>19</v>
      </c>
      <c r="E9" s="39" t="s">
        <v>86</v>
      </c>
      <c r="F9" s="27">
        <v>68081</v>
      </c>
      <c r="G9" s="27">
        <v>1870</v>
      </c>
      <c r="H9" s="28">
        <f t="shared" si="0"/>
        <v>66211</v>
      </c>
      <c r="I9" s="28">
        <f t="shared" si="1"/>
        <v>59729</v>
      </c>
      <c r="J9" s="25">
        <v>6482</v>
      </c>
      <c r="K9" s="29">
        <v>0</v>
      </c>
      <c r="L9" s="25">
        <v>0</v>
      </c>
      <c r="M9" s="27">
        <f>'02-03-2026'!J55</f>
        <v>827092</v>
      </c>
      <c r="N9" s="29">
        <v>0</v>
      </c>
      <c r="O9" s="30">
        <v>91603</v>
      </c>
    </row>
    <row r="10" spans="1:16" x14ac:dyDescent="0.35">
      <c r="A10" s="46"/>
      <c r="C10" s="37" t="s">
        <v>14</v>
      </c>
      <c r="D10" s="38" t="s">
        <v>20</v>
      </c>
      <c r="E10" s="39" t="s">
        <v>95</v>
      </c>
      <c r="F10" s="27">
        <v>105084</v>
      </c>
      <c r="G10" s="27">
        <v>0</v>
      </c>
      <c r="H10" s="28">
        <f t="shared" si="0"/>
        <v>105084</v>
      </c>
      <c r="I10" s="28">
        <f t="shared" si="1"/>
        <v>65489</v>
      </c>
      <c r="J10" s="25">
        <v>39595</v>
      </c>
      <c r="K10" s="29">
        <v>265</v>
      </c>
      <c r="L10" s="25">
        <v>1000</v>
      </c>
      <c r="M10" s="27">
        <f>'02-03-2026'!J56</f>
        <v>1109186</v>
      </c>
      <c r="N10" s="29">
        <v>0</v>
      </c>
      <c r="O10" s="30">
        <v>27349</v>
      </c>
    </row>
    <row r="11" spans="1:16" x14ac:dyDescent="0.35">
      <c r="A11" s="46"/>
      <c r="C11" s="37" t="s">
        <v>14</v>
      </c>
      <c r="D11" s="38" t="s">
        <v>21</v>
      </c>
      <c r="E11" s="39" t="s">
        <v>96</v>
      </c>
      <c r="F11" s="27">
        <v>47680</v>
      </c>
      <c r="G11" s="27">
        <v>1099</v>
      </c>
      <c r="H11" s="28">
        <f t="shared" si="0"/>
        <v>46581</v>
      </c>
      <c r="I11" s="28">
        <f t="shared" si="1"/>
        <v>29601</v>
      </c>
      <c r="J11" s="25">
        <v>16980</v>
      </c>
      <c r="K11" s="29">
        <v>0</v>
      </c>
      <c r="L11" s="25">
        <v>0</v>
      </c>
      <c r="M11" s="27">
        <f>'02-03-2026'!J57</f>
        <v>454099</v>
      </c>
      <c r="N11" s="29">
        <v>0</v>
      </c>
      <c r="O11" s="30">
        <v>31775</v>
      </c>
    </row>
    <row r="12" spans="1:16" x14ac:dyDescent="0.35">
      <c r="A12" s="48"/>
      <c r="C12" s="40" t="s">
        <v>22</v>
      </c>
      <c r="D12" s="40"/>
      <c r="E12" s="40"/>
      <c r="F12" s="31">
        <f t="shared" ref="F12:O12" si="2">SUM(F5:F11)</f>
        <v>430468</v>
      </c>
      <c r="G12" s="31">
        <f t="shared" si="2"/>
        <v>9630</v>
      </c>
      <c r="H12" s="31">
        <f t="shared" si="2"/>
        <v>420838</v>
      </c>
      <c r="I12" s="31">
        <f t="shared" si="2"/>
        <v>253947</v>
      </c>
      <c r="J12" s="31">
        <f t="shared" si="2"/>
        <v>166891</v>
      </c>
      <c r="K12" s="31">
        <f t="shared" si="2"/>
        <v>1889</v>
      </c>
      <c r="L12" s="31">
        <f t="shared" si="2"/>
        <v>16000</v>
      </c>
      <c r="M12" s="31">
        <f t="shared" si="2"/>
        <v>7190678</v>
      </c>
      <c r="N12" s="31">
        <f t="shared" si="2"/>
        <v>0</v>
      </c>
      <c r="O12" s="31">
        <f t="shared" si="2"/>
        <v>455763</v>
      </c>
    </row>
    <row r="13" spans="1:16" x14ac:dyDescent="0.35">
      <c r="C13" s="37" t="s">
        <v>23</v>
      </c>
      <c r="D13" s="38" t="s">
        <v>24</v>
      </c>
      <c r="E13" s="39" t="s">
        <v>84</v>
      </c>
      <c r="F13" s="27">
        <v>114159</v>
      </c>
      <c r="G13" s="27">
        <v>10159</v>
      </c>
      <c r="H13" s="28">
        <f t="shared" ref="H13:H33" si="3">F13-G13</f>
        <v>104000</v>
      </c>
      <c r="I13" s="28">
        <f t="shared" ref="I13:I33" si="4">H13-J13</f>
        <v>38492</v>
      </c>
      <c r="J13" s="25">
        <v>65508</v>
      </c>
      <c r="K13" s="29">
        <v>305</v>
      </c>
      <c r="L13" s="25">
        <v>0</v>
      </c>
      <c r="M13" s="27">
        <f>'02-03-2026'!J61</f>
        <v>435888</v>
      </c>
      <c r="N13" s="29">
        <v>0</v>
      </c>
      <c r="O13" s="25">
        <v>13413</v>
      </c>
    </row>
    <row r="14" spans="1:16" x14ac:dyDescent="0.35">
      <c r="C14" s="37" t="s">
        <v>23</v>
      </c>
      <c r="D14" s="38" t="s">
        <v>25</v>
      </c>
      <c r="E14" s="39" t="s">
        <v>95</v>
      </c>
      <c r="F14" s="27">
        <v>115818</v>
      </c>
      <c r="G14" s="27">
        <v>0</v>
      </c>
      <c r="H14" s="28">
        <f t="shared" si="3"/>
        <v>115818</v>
      </c>
      <c r="I14" s="28">
        <f t="shared" si="4"/>
        <v>34766</v>
      </c>
      <c r="J14" s="25">
        <v>81052</v>
      </c>
      <c r="K14" s="29">
        <v>0</v>
      </c>
      <c r="L14" s="25">
        <v>0</v>
      </c>
      <c r="M14" s="27">
        <f>'02-03-2026'!J62</f>
        <v>1498768</v>
      </c>
      <c r="N14" s="29">
        <v>0</v>
      </c>
      <c r="O14" s="25">
        <v>330163</v>
      </c>
    </row>
    <row r="15" spans="1:16" x14ac:dyDescent="0.35">
      <c r="C15" s="37" t="s">
        <v>23</v>
      </c>
      <c r="D15" s="38" t="s">
        <v>25</v>
      </c>
      <c r="E15" s="39" t="s">
        <v>96</v>
      </c>
      <c r="F15" s="27">
        <v>21116</v>
      </c>
      <c r="G15" s="27">
        <v>1395</v>
      </c>
      <c r="H15" s="28">
        <f t="shared" si="3"/>
        <v>19721</v>
      </c>
      <c r="I15" s="28">
        <f t="shared" si="4"/>
        <v>0</v>
      </c>
      <c r="J15" s="25">
        <v>19721</v>
      </c>
      <c r="K15" s="29">
        <v>0</v>
      </c>
      <c r="L15" s="25">
        <v>0</v>
      </c>
      <c r="M15" s="27">
        <v>0</v>
      </c>
      <c r="N15" s="29">
        <v>0</v>
      </c>
      <c r="O15" s="25">
        <v>0</v>
      </c>
    </row>
    <row r="16" spans="1:16" x14ac:dyDescent="0.35">
      <c r="C16" s="37" t="s">
        <v>23</v>
      </c>
      <c r="D16" s="38" t="s">
        <v>25</v>
      </c>
      <c r="E16" s="39" t="s">
        <v>96</v>
      </c>
      <c r="F16" s="27">
        <v>31467</v>
      </c>
      <c r="G16" s="27">
        <v>0</v>
      </c>
      <c r="H16" s="28">
        <f t="shared" si="3"/>
        <v>31467</v>
      </c>
      <c r="I16" s="28">
        <f t="shared" si="4"/>
        <v>0</v>
      </c>
      <c r="J16" s="25">
        <v>31467</v>
      </c>
      <c r="K16" s="29">
        <v>0</v>
      </c>
      <c r="L16" s="25">
        <v>0</v>
      </c>
      <c r="M16" s="27">
        <v>0</v>
      </c>
      <c r="N16" s="29">
        <v>0</v>
      </c>
      <c r="O16" s="25">
        <v>0</v>
      </c>
    </row>
    <row r="17" spans="3:15" x14ac:dyDescent="0.35">
      <c r="C17" s="37" t="s">
        <v>23</v>
      </c>
      <c r="D17" s="38" t="s">
        <v>26</v>
      </c>
      <c r="E17" s="39" t="s">
        <v>84</v>
      </c>
      <c r="F17" s="27">
        <v>0</v>
      </c>
      <c r="G17" s="27">
        <v>0</v>
      </c>
      <c r="H17" s="28">
        <f t="shared" si="3"/>
        <v>0</v>
      </c>
      <c r="I17" s="28">
        <f t="shared" si="4"/>
        <v>0</v>
      </c>
      <c r="J17" s="25">
        <v>0</v>
      </c>
      <c r="K17" s="29">
        <v>0</v>
      </c>
      <c r="L17" s="25">
        <v>0</v>
      </c>
      <c r="M17" s="27">
        <f>'02-03-2026'!J63</f>
        <v>617689</v>
      </c>
      <c r="N17" s="29">
        <v>0</v>
      </c>
      <c r="O17" s="25">
        <v>0</v>
      </c>
    </row>
    <row r="18" spans="3:15" x14ac:dyDescent="0.35">
      <c r="C18" s="37" t="s">
        <v>23</v>
      </c>
      <c r="D18" s="38" t="s">
        <v>20</v>
      </c>
      <c r="E18" s="39" t="s">
        <v>95</v>
      </c>
      <c r="F18" s="27">
        <v>0</v>
      </c>
      <c r="G18" s="27">
        <v>0</v>
      </c>
      <c r="H18" s="28">
        <f t="shared" si="3"/>
        <v>0</v>
      </c>
      <c r="I18" s="28">
        <f t="shared" si="4"/>
        <v>0</v>
      </c>
      <c r="J18" s="25">
        <v>0</v>
      </c>
      <c r="K18" s="29">
        <v>0</v>
      </c>
      <c r="L18" s="25">
        <v>0</v>
      </c>
      <c r="M18" s="27">
        <v>0</v>
      </c>
      <c r="N18" s="29">
        <v>0</v>
      </c>
      <c r="O18" s="25">
        <v>0</v>
      </c>
    </row>
    <row r="19" spans="3:15" x14ac:dyDescent="0.35">
      <c r="C19" s="37" t="s">
        <v>23</v>
      </c>
      <c r="D19" s="38" t="s">
        <v>18</v>
      </c>
      <c r="E19" s="39" t="s">
        <v>92</v>
      </c>
      <c r="F19" s="27">
        <v>30193</v>
      </c>
      <c r="G19" s="27">
        <v>0</v>
      </c>
      <c r="H19" s="28">
        <f t="shared" si="3"/>
        <v>30193</v>
      </c>
      <c r="I19" s="28">
        <f t="shared" si="4"/>
        <v>0</v>
      </c>
      <c r="J19" s="25">
        <v>30193</v>
      </c>
      <c r="K19" s="29">
        <v>0</v>
      </c>
      <c r="L19" s="25">
        <v>0</v>
      </c>
      <c r="M19" s="27">
        <v>0</v>
      </c>
      <c r="N19" s="29">
        <v>0</v>
      </c>
      <c r="O19" s="25">
        <v>0</v>
      </c>
    </row>
    <row r="20" spans="3:15" x14ac:dyDescent="0.35">
      <c r="C20" s="37" t="s">
        <v>23</v>
      </c>
      <c r="D20" s="40"/>
      <c r="E20" s="40"/>
      <c r="F20" s="31">
        <f>SUM(F13:F19)</f>
        <v>312753</v>
      </c>
      <c r="G20" s="31">
        <f>SUM(G13:G19)</f>
        <v>11554</v>
      </c>
      <c r="H20" s="31">
        <f>SUM(H13:H18)</f>
        <v>271006</v>
      </c>
      <c r="I20" s="31">
        <f>SUM(I13:I18)</f>
        <v>73258</v>
      </c>
      <c r="J20" s="31">
        <f>SUM(J13:J19)</f>
        <v>227941</v>
      </c>
      <c r="K20" s="31">
        <f>SUM(K13:K18)</f>
        <v>305</v>
      </c>
      <c r="L20" s="31">
        <f>SUM(L13:L18)</f>
        <v>0</v>
      </c>
      <c r="M20" s="31">
        <f>SUM(M13:M19)</f>
        <v>2552345</v>
      </c>
      <c r="N20" s="31">
        <f>SUM(N13:N18)</f>
        <v>0</v>
      </c>
      <c r="O20" s="31">
        <f>SUM(O13:O19)</f>
        <v>343576</v>
      </c>
    </row>
    <row r="21" spans="3:15" x14ac:dyDescent="0.35">
      <c r="C21" s="37" t="s">
        <v>27</v>
      </c>
      <c r="D21" s="38" t="s">
        <v>25</v>
      </c>
      <c r="E21" s="39" t="s">
        <v>16</v>
      </c>
      <c r="F21" s="27">
        <v>0</v>
      </c>
      <c r="G21" s="27">
        <v>0</v>
      </c>
      <c r="H21" s="28">
        <f t="shared" si="3"/>
        <v>0</v>
      </c>
      <c r="I21" s="28">
        <f t="shared" si="4"/>
        <v>0</v>
      </c>
      <c r="J21" s="25">
        <v>0</v>
      </c>
      <c r="K21" s="29">
        <v>0</v>
      </c>
      <c r="L21" s="25">
        <v>0</v>
      </c>
      <c r="M21" s="27">
        <f>'02-03-2026'!J65</f>
        <v>51257</v>
      </c>
      <c r="N21" s="29">
        <v>0</v>
      </c>
      <c r="O21" s="25">
        <v>0</v>
      </c>
    </row>
    <row r="22" spans="3:15" x14ac:dyDescent="0.35">
      <c r="C22" s="40"/>
      <c r="D22" s="40"/>
      <c r="E22" s="40"/>
      <c r="F22" s="31">
        <f>SUM(F21)</f>
        <v>0</v>
      </c>
      <c r="G22" s="31">
        <f t="shared" ref="G22:O22" si="5">SUM(G21)</f>
        <v>0</v>
      </c>
      <c r="H22" s="31">
        <f t="shared" si="5"/>
        <v>0</v>
      </c>
      <c r="I22" s="31">
        <f t="shared" si="5"/>
        <v>0</v>
      </c>
      <c r="J22" s="31">
        <f t="shared" si="5"/>
        <v>0</v>
      </c>
      <c r="K22" s="31">
        <f t="shared" si="5"/>
        <v>0</v>
      </c>
      <c r="L22" s="31">
        <f t="shared" si="5"/>
        <v>0</v>
      </c>
      <c r="M22" s="31">
        <f t="shared" si="5"/>
        <v>51257</v>
      </c>
      <c r="N22" s="31">
        <f t="shared" si="5"/>
        <v>0</v>
      </c>
      <c r="O22" s="31">
        <f t="shared" si="5"/>
        <v>0</v>
      </c>
    </row>
    <row r="23" spans="3:15" x14ac:dyDescent="0.35">
      <c r="C23" s="37" t="s">
        <v>28</v>
      </c>
      <c r="D23" s="38" t="s">
        <v>29</v>
      </c>
      <c r="E23" s="39" t="s">
        <v>16</v>
      </c>
      <c r="F23" s="27">
        <v>0</v>
      </c>
      <c r="G23" s="27">
        <v>0</v>
      </c>
      <c r="H23" s="28">
        <f t="shared" si="3"/>
        <v>0</v>
      </c>
      <c r="I23" s="28">
        <f t="shared" si="4"/>
        <v>0</v>
      </c>
      <c r="J23" s="25">
        <v>0</v>
      </c>
      <c r="K23" s="29">
        <v>0</v>
      </c>
      <c r="L23" s="25">
        <v>0</v>
      </c>
      <c r="M23" s="27">
        <f>'02-03-2026'!J76</f>
        <v>33969</v>
      </c>
      <c r="N23" s="29">
        <v>0</v>
      </c>
      <c r="O23" s="25">
        <v>0</v>
      </c>
    </row>
    <row r="24" spans="3:15" x14ac:dyDescent="0.35">
      <c r="C24" s="37" t="s">
        <v>28</v>
      </c>
      <c r="D24" s="38" t="s">
        <v>25</v>
      </c>
      <c r="E24" s="39" t="s">
        <v>16</v>
      </c>
      <c r="F24" s="27">
        <v>0</v>
      </c>
      <c r="G24" s="27">
        <v>0</v>
      </c>
      <c r="H24" s="28">
        <f t="shared" si="3"/>
        <v>0</v>
      </c>
      <c r="I24" s="28">
        <f t="shared" si="4"/>
        <v>0</v>
      </c>
      <c r="J24" s="25">
        <v>0</v>
      </c>
      <c r="K24" s="29">
        <v>0</v>
      </c>
      <c r="L24" s="25">
        <v>0</v>
      </c>
      <c r="M24" s="27">
        <f>'02-03-2026'!J77</f>
        <v>160846</v>
      </c>
      <c r="N24" s="29">
        <v>0</v>
      </c>
      <c r="O24" s="25">
        <v>0</v>
      </c>
    </row>
    <row r="25" spans="3:15" x14ac:dyDescent="0.35">
      <c r="C25" s="40" t="s">
        <v>22</v>
      </c>
      <c r="D25" s="40"/>
      <c r="E25" s="40"/>
      <c r="F25" s="31">
        <f t="shared" ref="F25:L25" si="6">SUM(F23:F24)</f>
        <v>0</v>
      </c>
      <c r="G25" s="31">
        <f t="shared" si="6"/>
        <v>0</v>
      </c>
      <c r="H25" s="31">
        <f t="shared" si="6"/>
        <v>0</v>
      </c>
      <c r="I25" s="31">
        <f t="shared" si="6"/>
        <v>0</v>
      </c>
      <c r="J25" s="31">
        <f t="shared" si="6"/>
        <v>0</v>
      </c>
      <c r="K25" s="31">
        <f>SUM(K23:K24)</f>
        <v>0</v>
      </c>
      <c r="L25" s="31">
        <f t="shared" si="6"/>
        <v>0</v>
      </c>
      <c r="M25" s="31">
        <f>SUM(M23:M24)</f>
        <v>194815</v>
      </c>
      <c r="N25" s="31">
        <f t="shared" ref="N25:O25" si="7">SUM(N23:N24)</f>
        <v>0</v>
      </c>
      <c r="O25" s="31">
        <f t="shared" si="7"/>
        <v>0</v>
      </c>
    </row>
    <row r="26" spans="3:15" x14ac:dyDescent="0.35">
      <c r="C26" s="37" t="s">
        <v>30</v>
      </c>
      <c r="D26" s="38" t="s">
        <v>29</v>
      </c>
      <c r="E26" s="39" t="s">
        <v>16</v>
      </c>
      <c r="F26" s="32">
        <v>0</v>
      </c>
      <c r="G26" s="32">
        <v>0</v>
      </c>
      <c r="H26" s="28">
        <f t="shared" si="3"/>
        <v>0</v>
      </c>
      <c r="I26" s="28">
        <f t="shared" si="4"/>
        <v>0</v>
      </c>
      <c r="J26" s="33">
        <v>0</v>
      </c>
      <c r="K26" s="34">
        <v>0</v>
      </c>
      <c r="L26" s="33">
        <v>0</v>
      </c>
      <c r="M26" s="32">
        <f>'02-03-2026'!J80</f>
        <v>89658</v>
      </c>
      <c r="N26" s="34">
        <v>0</v>
      </c>
      <c r="O26" s="33">
        <v>0</v>
      </c>
    </row>
    <row r="27" spans="3:15" x14ac:dyDescent="0.35">
      <c r="C27" s="37" t="s">
        <v>30</v>
      </c>
      <c r="D27" s="38" t="s">
        <v>31</v>
      </c>
      <c r="E27" s="39" t="s">
        <v>16</v>
      </c>
      <c r="F27" s="32">
        <v>0</v>
      </c>
      <c r="G27" s="32">
        <v>0</v>
      </c>
      <c r="H27" s="28">
        <f t="shared" si="3"/>
        <v>0</v>
      </c>
      <c r="I27" s="28">
        <f t="shared" si="4"/>
        <v>0</v>
      </c>
      <c r="J27" s="33">
        <v>0</v>
      </c>
      <c r="K27" s="34">
        <v>0</v>
      </c>
      <c r="L27" s="33">
        <v>0</v>
      </c>
      <c r="M27" s="32">
        <f>'02-03-2026'!J81</f>
        <v>42000</v>
      </c>
      <c r="N27" s="34">
        <v>0</v>
      </c>
      <c r="O27" s="33">
        <v>0</v>
      </c>
    </row>
    <row r="28" spans="3:15" x14ac:dyDescent="0.35">
      <c r="C28" s="40" t="s">
        <v>22</v>
      </c>
      <c r="D28" s="40"/>
      <c r="E28" s="40"/>
      <c r="F28" s="31">
        <f>SUM(F26:F27)</f>
        <v>0</v>
      </c>
      <c r="G28" s="31">
        <f t="shared" ref="G28:O28" si="8">SUM(G26:G27)</f>
        <v>0</v>
      </c>
      <c r="H28" s="31">
        <f t="shared" si="8"/>
        <v>0</v>
      </c>
      <c r="I28" s="31">
        <f t="shared" si="8"/>
        <v>0</v>
      </c>
      <c r="J28" s="31">
        <f t="shared" si="8"/>
        <v>0</v>
      </c>
      <c r="K28" s="31">
        <f t="shared" si="8"/>
        <v>0</v>
      </c>
      <c r="L28" s="31">
        <f t="shared" si="8"/>
        <v>0</v>
      </c>
      <c r="M28" s="31">
        <f t="shared" si="8"/>
        <v>131658</v>
      </c>
      <c r="N28" s="31">
        <f t="shared" si="8"/>
        <v>0</v>
      </c>
      <c r="O28" s="31">
        <f t="shared" si="8"/>
        <v>0</v>
      </c>
    </row>
    <row r="29" spans="3:15" x14ac:dyDescent="0.35">
      <c r="C29" s="37" t="s">
        <v>32</v>
      </c>
      <c r="D29" s="38" t="s">
        <v>33</v>
      </c>
      <c r="E29" s="39" t="s">
        <v>92</v>
      </c>
      <c r="F29" s="35">
        <v>33068</v>
      </c>
      <c r="G29" s="27">
        <v>0</v>
      </c>
      <c r="H29" s="28">
        <f t="shared" si="3"/>
        <v>33068</v>
      </c>
      <c r="I29" s="28">
        <f t="shared" si="4"/>
        <v>33068</v>
      </c>
      <c r="J29" s="25">
        <v>0</v>
      </c>
      <c r="K29" s="29">
        <v>0</v>
      </c>
      <c r="L29" s="25">
        <v>0</v>
      </c>
      <c r="M29" s="27">
        <f>'02-03-2026'!J68</f>
        <v>1445259</v>
      </c>
      <c r="N29" s="29">
        <v>0</v>
      </c>
      <c r="O29" s="25">
        <v>18000</v>
      </c>
    </row>
    <row r="30" spans="3:15" x14ac:dyDescent="0.35">
      <c r="C30" s="37" t="s">
        <v>32</v>
      </c>
      <c r="D30" s="38" t="s">
        <v>33</v>
      </c>
      <c r="E30" s="39" t="s">
        <v>96</v>
      </c>
      <c r="F30" s="35">
        <v>28479</v>
      </c>
      <c r="G30" s="27">
        <v>1516</v>
      </c>
      <c r="H30" s="28">
        <f t="shared" si="3"/>
        <v>26963</v>
      </c>
      <c r="I30" s="28">
        <f t="shared" si="4"/>
        <v>18921</v>
      </c>
      <c r="J30" s="25">
        <v>8042</v>
      </c>
      <c r="K30" s="29">
        <v>0</v>
      </c>
      <c r="L30" s="25">
        <v>0</v>
      </c>
      <c r="M30" s="27">
        <v>0</v>
      </c>
      <c r="N30" s="29">
        <v>0</v>
      </c>
      <c r="O30" s="25">
        <v>0</v>
      </c>
    </row>
    <row r="31" spans="3:15" x14ac:dyDescent="0.35">
      <c r="C31" s="37" t="s">
        <v>32</v>
      </c>
      <c r="D31" s="38" t="s">
        <v>31</v>
      </c>
      <c r="E31" s="39" t="s">
        <v>16</v>
      </c>
      <c r="F31" s="35">
        <v>0</v>
      </c>
      <c r="G31" s="27">
        <v>0</v>
      </c>
      <c r="H31" s="28">
        <f t="shared" si="3"/>
        <v>0</v>
      </c>
      <c r="I31" s="28">
        <f t="shared" si="4"/>
        <v>0</v>
      </c>
      <c r="J31" s="25">
        <v>0</v>
      </c>
      <c r="K31" s="29">
        <v>0</v>
      </c>
      <c r="L31" s="25">
        <v>0</v>
      </c>
      <c r="M31" s="27">
        <f>'02-03-2026'!J69</f>
        <v>174473</v>
      </c>
      <c r="N31" s="29">
        <v>0</v>
      </c>
      <c r="O31" s="25">
        <v>0</v>
      </c>
    </row>
    <row r="32" spans="3:15" x14ac:dyDescent="0.35">
      <c r="C32" s="37" t="s">
        <v>32</v>
      </c>
      <c r="D32" s="38" t="s">
        <v>26</v>
      </c>
      <c r="E32" s="39" t="s">
        <v>16</v>
      </c>
      <c r="F32" s="35">
        <v>0</v>
      </c>
      <c r="G32" s="27">
        <v>0</v>
      </c>
      <c r="H32" s="28">
        <f t="shared" si="3"/>
        <v>0</v>
      </c>
      <c r="I32" s="28">
        <f t="shared" si="4"/>
        <v>0</v>
      </c>
      <c r="J32" s="25">
        <v>0</v>
      </c>
      <c r="K32" s="29">
        <v>0</v>
      </c>
      <c r="L32" s="25">
        <v>0</v>
      </c>
      <c r="M32" s="27">
        <f>'02-03-2026'!J70</f>
        <v>35126</v>
      </c>
      <c r="N32" s="29">
        <v>0</v>
      </c>
      <c r="O32" s="25">
        <v>0</v>
      </c>
    </row>
    <row r="33" spans="3:15" x14ac:dyDescent="0.35">
      <c r="C33" s="37" t="s">
        <v>32</v>
      </c>
      <c r="D33" s="38" t="s">
        <v>34</v>
      </c>
      <c r="E33" s="39" t="s">
        <v>86</v>
      </c>
      <c r="F33" s="35">
        <v>32529</v>
      </c>
      <c r="G33" s="27">
        <v>0</v>
      </c>
      <c r="H33" s="28">
        <f t="shared" si="3"/>
        <v>32529</v>
      </c>
      <c r="I33" s="28">
        <f t="shared" si="4"/>
        <v>32529</v>
      </c>
      <c r="J33" s="25">
        <v>0</v>
      </c>
      <c r="K33" s="29">
        <v>0</v>
      </c>
      <c r="L33" s="25">
        <v>0</v>
      </c>
      <c r="M33" s="27">
        <f>'02-03-2026'!J71</f>
        <v>1410128</v>
      </c>
      <c r="N33" s="29">
        <v>0</v>
      </c>
      <c r="O33" s="25">
        <v>71948</v>
      </c>
    </row>
    <row r="34" spans="3:15" x14ac:dyDescent="0.35">
      <c r="C34" s="40" t="s">
        <v>22</v>
      </c>
      <c r="D34" s="40"/>
      <c r="E34" s="40"/>
      <c r="F34" s="31">
        <f t="shared" ref="F34:O34" si="9">SUM(F29:F33)</f>
        <v>94076</v>
      </c>
      <c r="G34" s="31">
        <f t="shared" si="9"/>
        <v>1516</v>
      </c>
      <c r="H34" s="31">
        <f t="shared" si="9"/>
        <v>92560</v>
      </c>
      <c r="I34" s="31">
        <f t="shared" si="9"/>
        <v>84518</v>
      </c>
      <c r="J34" s="31">
        <f t="shared" si="9"/>
        <v>8042</v>
      </c>
      <c r="K34" s="31">
        <f t="shared" si="9"/>
        <v>0</v>
      </c>
      <c r="L34" s="31">
        <f t="shared" si="9"/>
        <v>0</v>
      </c>
      <c r="M34" s="31">
        <f t="shared" si="9"/>
        <v>3064986</v>
      </c>
      <c r="N34" s="31">
        <f t="shared" si="9"/>
        <v>0</v>
      </c>
      <c r="O34" s="31">
        <f t="shared" si="9"/>
        <v>89948</v>
      </c>
    </row>
    <row r="35" spans="3:15" x14ac:dyDescent="0.35">
      <c r="C35" s="41" t="s">
        <v>35</v>
      </c>
      <c r="D35" s="41"/>
      <c r="E35" s="41"/>
      <c r="F35" s="36">
        <f t="shared" ref="F35:O35" si="10">F34+F28+F25+F22+F20+F12</f>
        <v>837297</v>
      </c>
      <c r="G35" s="36">
        <f t="shared" si="10"/>
        <v>22700</v>
      </c>
      <c r="H35" s="36">
        <f t="shared" si="10"/>
        <v>784404</v>
      </c>
      <c r="I35" s="36">
        <f t="shared" si="10"/>
        <v>411723</v>
      </c>
      <c r="J35" s="36">
        <f t="shared" si="10"/>
        <v>402874</v>
      </c>
      <c r="K35" s="36">
        <f t="shared" si="10"/>
        <v>2194</v>
      </c>
      <c r="L35" s="36">
        <f t="shared" si="10"/>
        <v>16000</v>
      </c>
      <c r="M35" s="36">
        <f t="shared" si="10"/>
        <v>13185739</v>
      </c>
      <c r="N35" s="36">
        <f t="shared" si="10"/>
        <v>0</v>
      </c>
      <c r="O35" s="36">
        <f t="shared" si="10"/>
        <v>889287</v>
      </c>
    </row>
    <row r="36" spans="3:15" x14ac:dyDescent="0.35">
      <c r="F36" s="49" t="s">
        <v>36</v>
      </c>
      <c r="G36" s="25">
        <f>O12+L12+J12-K12</f>
        <v>636765</v>
      </c>
      <c r="H36" s="200"/>
      <c r="I36" s="201"/>
      <c r="J36" s="50"/>
      <c r="K36" s="51"/>
      <c r="L36" s="51"/>
    </row>
    <row r="37" spans="3:15" x14ac:dyDescent="0.35">
      <c r="F37" s="52" t="s">
        <v>37</v>
      </c>
      <c r="G37" s="25">
        <f>O20+L20+J20-K20+O22+L22+J22-K22</f>
        <v>571212</v>
      </c>
      <c r="H37" s="53"/>
      <c r="I37" s="54" t="s">
        <v>89</v>
      </c>
      <c r="J37" s="54" t="s">
        <v>90</v>
      </c>
      <c r="K37" s="192" t="s">
        <v>88</v>
      </c>
      <c r="L37" s="193"/>
      <c r="M37" s="202" t="s">
        <v>87</v>
      </c>
      <c r="N37" s="203"/>
      <c r="O37" s="204"/>
    </row>
    <row r="38" spans="3:15" x14ac:dyDescent="0.35">
      <c r="C38" s="205" t="s">
        <v>68</v>
      </c>
      <c r="D38" s="206"/>
      <c r="F38" s="55" t="s">
        <v>38</v>
      </c>
      <c r="G38" s="25">
        <f>O25+L25+J25-K25</f>
        <v>0</v>
      </c>
      <c r="H38" s="53"/>
      <c r="I38" s="54"/>
      <c r="J38" s="57"/>
      <c r="K38" s="192"/>
      <c r="L38" s="193"/>
      <c r="M38" s="59"/>
      <c r="N38" s="58"/>
      <c r="O38" s="60"/>
    </row>
    <row r="39" spans="3:15" x14ac:dyDescent="0.35">
      <c r="C39" s="61"/>
      <c r="D39" s="61"/>
      <c r="F39" s="62" t="s">
        <v>30</v>
      </c>
      <c r="G39" s="25">
        <f>O28+L28+J28-K28</f>
        <v>0</v>
      </c>
      <c r="H39" s="53"/>
      <c r="I39" s="56"/>
      <c r="J39" s="57"/>
      <c r="K39" s="192"/>
      <c r="L39" s="193"/>
      <c r="M39" s="59"/>
      <c r="N39" s="58"/>
      <c r="O39" s="60"/>
    </row>
    <row r="40" spans="3:15" x14ac:dyDescent="0.35">
      <c r="C40" s="61"/>
      <c r="D40" s="61"/>
      <c r="F40" s="49" t="s">
        <v>39</v>
      </c>
      <c r="G40" s="25">
        <f>O34+L34+J34-K34</f>
        <v>97990</v>
      </c>
      <c r="H40" s="53"/>
      <c r="I40" s="56"/>
      <c r="J40" s="57"/>
      <c r="K40" s="192"/>
      <c r="L40" s="193"/>
      <c r="M40" s="59"/>
      <c r="N40" s="58"/>
      <c r="O40" s="60"/>
    </row>
    <row r="41" spans="3:15" x14ac:dyDescent="0.35">
      <c r="C41" s="61"/>
      <c r="D41" s="61"/>
      <c r="F41" s="63" t="s">
        <v>40</v>
      </c>
      <c r="G41" s="26">
        <f>SUM(G36:G40)</f>
        <v>1305967</v>
      </c>
      <c r="I41" s="61"/>
      <c r="J41" s="57"/>
      <c r="K41" s="192"/>
      <c r="L41" s="193"/>
      <c r="M41" s="59"/>
      <c r="N41" s="58"/>
      <c r="O41" s="60"/>
    </row>
    <row r="42" spans="3:15" x14ac:dyDescent="0.35">
      <c r="C42" s="61"/>
      <c r="D42" s="61"/>
      <c r="F42" s="64"/>
      <c r="G42" s="65"/>
      <c r="I42" s="61"/>
      <c r="J42" s="57"/>
      <c r="K42" s="192"/>
      <c r="L42" s="193"/>
      <c r="M42" s="59"/>
      <c r="N42" s="58"/>
      <c r="O42" s="60"/>
    </row>
    <row r="43" spans="3:15" x14ac:dyDescent="0.35">
      <c r="C43" s="61"/>
      <c r="D43" s="61"/>
      <c r="F43" s="64"/>
      <c r="G43" s="65"/>
      <c r="I43" s="61"/>
      <c r="J43" s="57"/>
      <c r="K43" s="58"/>
      <c r="L43" s="58"/>
      <c r="M43" s="59"/>
      <c r="N43" s="58"/>
      <c r="O43" s="60"/>
    </row>
    <row r="44" spans="3:15" x14ac:dyDescent="0.35">
      <c r="C44" s="61"/>
      <c r="D44" s="61"/>
      <c r="F44" s="64"/>
      <c r="G44" s="65"/>
      <c r="I44" s="61"/>
      <c r="J44" s="57"/>
      <c r="K44" s="58"/>
      <c r="L44" s="58"/>
      <c r="M44" s="59"/>
      <c r="N44" s="58"/>
      <c r="O44" s="60"/>
    </row>
    <row r="45" spans="3:15" x14ac:dyDescent="0.35">
      <c r="C45" s="61"/>
      <c r="D45" s="61"/>
      <c r="F45" s="64"/>
      <c r="G45" s="65"/>
      <c r="I45" s="61"/>
      <c r="J45" s="57"/>
      <c r="K45" s="58"/>
      <c r="L45" s="58"/>
      <c r="M45" s="59"/>
      <c r="N45" s="58"/>
      <c r="O45" s="60"/>
    </row>
    <row r="46" spans="3:15" x14ac:dyDescent="0.35">
      <c r="C46" s="61"/>
      <c r="D46" s="61"/>
      <c r="F46" s="64"/>
      <c r="G46" s="65"/>
      <c r="I46" s="61"/>
      <c r="J46" s="57"/>
      <c r="K46" s="191"/>
      <c r="L46" s="193"/>
      <c r="M46" s="191"/>
      <c r="N46" s="192"/>
      <c r="O46" s="193"/>
    </row>
    <row r="47" spans="3:15" x14ac:dyDescent="0.35">
      <c r="C47" s="61"/>
      <c r="D47" s="61"/>
      <c r="F47" s="64"/>
      <c r="G47" s="65"/>
      <c r="I47" s="61"/>
      <c r="J47" s="54"/>
      <c r="K47" s="191"/>
      <c r="L47" s="193"/>
      <c r="M47" s="191"/>
      <c r="N47" s="192"/>
      <c r="O47" s="193"/>
    </row>
    <row r="48" spans="3:15" x14ac:dyDescent="0.35">
      <c r="C48" s="61"/>
      <c r="D48" s="61"/>
      <c r="F48" s="64"/>
      <c r="G48" s="65"/>
      <c r="I48" s="61"/>
      <c r="J48" s="54"/>
      <c r="K48" s="191"/>
      <c r="L48" s="193"/>
      <c r="M48" s="191"/>
      <c r="N48" s="192"/>
      <c r="O48" s="193"/>
    </row>
    <row r="49" spans="3:15" x14ac:dyDescent="0.35">
      <c r="C49" s="61"/>
      <c r="D49" s="61"/>
      <c r="F49" s="64"/>
      <c r="G49" s="65"/>
      <c r="I49" s="61"/>
      <c r="J49" s="54"/>
      <c r="K49" s="191"/>
      <c r="L49" s="193"/>
      <c r="M49" s="191"/>
      <c r="N49" s="192"/>
      <c r="O49" s="193"/>
    </row>
    <row r="50" spans="3:15" x14ac:dyDescent="0.35">
      <c r="C50" s="61"/>
      <c r="D50" s="61"/>
      <c r="F50" s="64"/>
      <c r="G50" s="65"/>
      <c r="I50" s="61"/>
      <c r="J50" s="54"/>
      <c r="K50" s="191"/>
      <c r="L50" s="193"/>
      <c r="M50" s="191"/>
      <c r="N50" s="192"/>
      <c r="O50" s="193"/>
    </row>
    <row r="51" spans="3:15" x14ac:dyDescent="0.35">
      <c r="H51" s="209" t="s">
        <v>41</v>
      </c>
      <c r="I51" s="209"/>
      <c r="J51" s="209"/>
      <c r="K51" s="210"/>
      <c r="L51" s="46"/>
      <c r="M51" s="66"/>
    </row>
    <row r="52" spans="3:15" x14ac:dyDescent="0.35">
      <c r="H52" s="67" t="s">
        <v>42</v>
      </c>
      <c r="I52" s="67" t="s">
        <v>43</v>
      </c>
      <c r="J52" s="67" t="s">
        <v>44</v>
      </c>
      <c r="K52" s="210"/>
      <c r="L52" s="66"/>
    </row>
    <row r="53" spans="3:15" x14ac:dyDescent="0.35">
      <c r="F53" s="68"/>
      <c r="H53" s="42" t="s">
        <v>14</v>
      </c>
      <c r="I53" s="42" t="s">
        <v>15</v>
      </c>
      <c r="J53" s="68">
        <f>M5-O5-N5-L5+I5+I6-L6</f>
        <v>347450</v>
      </c>
      <c r="K53" s="69">
        <v>359515</v>
      </c>
      <c r="L53" s="70">
        <f>J53-K53</f>
        <v>-12065</v>
      </c>
      <c r="M53" s="68"/>
    </row>
    <row r="54" spans="3:15" x14ac:dyDescent="0.35">
      <c r="C54" s="211">
        <v>45931</v>
      </c>
      <c r="D54" s="211"/>
      <c r="E54" s="211"/>
      <c r="H54" s="42" t="s">
        <v>14</v>
      </c>
      <c r="I54" s="42" t="s">
        <v>17</v>
      </c>
      <c r="J54" s="68">
        <f>M7-O7-N7-L7+I7+G54</f>
        <v>3106305</v>
      </c>
      <c r="K54" s="69">
        <v>3301305</v>
      </c>
      <c r="L54" s="70">
        <f t="shared" ref="L54:L65" si="11">J54-K54</f>
        <v>-195000</v>
      </c>
      <c r="M54" s="68"/>
    </row>
    <row r="55" spans="3:15" x14ac:dyDescent="0.35">
      <c r="C55" s="212" t="s">
        <v>63</v>
      </c>
      <c r="D55" s="212"/>
      <c r="E55" s="212"/>
      <c r="H55" s="42" t="s">
        <v>14</v>
      </c>
      <c r="I55" s="42" t="s">
        <v>18</v>
      </c>
      <c r="J55" s="68">
        <f>M8-O8-N8-L8+I8+G55</f>
        <v>1125638</v>
      </c>
      <c r="K55" s="69">
        <v>1013356</v>
      </c>
      <c r="L55" s="70">
        <f t="shared" si="11"/>
        <v>112282</v>
      </c>
    </row>
    <row r="56" spans="3:15" x14ac:dyDescent="0.35">
      <c r="C56" s="61" t="s">
        <v>64</v>
      </c>
      <c r="D56" s="213">
        <f>'Opening Balance FEB 2026'!J4</f>
        <v>1308640</v>
      </c>
      <c r="E56" s="214"/>
      <c r="H56" s="42" t="s">
        <v>14</v>
      </c>
      <c r="I56" s="42" t="s">
        <v>19</v>
      </c>
      <c r="J56" s="68">
        <f>M9-O9-N9-L9+I9+G56</f>
        <v>795218</v>
      </c>
      <c r="K56" s="69">
        <v>834711</v>
      </c>
      <c r="L56" s="70">
        <f t="shared" si="11"/>
        <v>-39493</v>
      </c>
    </row>
    <row r="57" spans="3:15" x14ac:dyDescent="0.35">
      <c r="C57" s="61" t="s">
        <v>65</v>
      </c>
      <c r="D57" s="213">
        <f>G41</f>
        <v>1305967</v>
      </c>
      <c r="E57" s="214"/>
      <c r="H57" s="42" t="s">
        <v>14</v>
      </c>
      <c r="I57" s="42" t="s">
        <v>20</v>
      </c>
      <c r="J57" s="68">
        <f>M10-O10-N10-L10+I10+G57</f>
        <v>1146326</v>
      </c>
      <c r="K57" s="69">
        <v>1058186</v>
      </c>
      <c r="L57" s="70">
        <f t="shared" si="11"/>
        <v>88140</v>
      </c>
    </row>
    <row r="58" spans="3:15" x14ac:dyDescent="0.35">
      <c r="C58" s="71" t="s">
        <v>45</v>
      </c>
      <c r="D58" s="215">
        <f>D56+D57</f>
        <v>2614607</v>
      </c>
      <c r="E58" s="216"/>
      <c r="H58" s="42" t="s">
        <v>14</v>
      </c>
      <c r="I58" s="42" t="s">
        <v>21</v>
      </c>
      <c r="J58" s="68">
        <f>M11-O11-N11-L11+I11+G58</f>
        <v>451925</v>
      </c>
      <c r="K58" s="69">
        <v>470116</v>
      </c>
      <c r="L58" s="70">
        <f t="shared" si="11"/>
        <v>-18191</v>
      </c>
    </row>
    <row r="59" spans="3:15" x14ac:dyDescent="0.35">
      <c r="C59" s="61" t="s">
        <v>66</v>
      </c>
      <c r="D59" s="207">
        <v>0</v>
      </c>
      <c r="E59" s="208"/>
      <c r="H59" s="72" t="s">
        <v>45</v>
      </c>
      <c r="I59" s="72"/>
      <c r="J59" s="73">
        <f>SUM(J53:J58)</f>
        <v>6972862</v>
      </c>
      <c r="K59" s="74">
        <v>6972862</v>
      </c>
      <c r="L59" s="70">
        <f t="shared" si="11"/>
        <v>0</v>
      </c>
    </row>
    <row r="60" spans="3:15" x14ac:dyDescent="0.35">
      <c r="C60" s="61" t="s">
        <v>78</v>
      </c>
      <c r="D60" s="207">
        <v>0</v>
      </c>
      <c r="E60" s="208"/>
      <c r="H60" s="72"/>
      <c r="I60" s="72"/>
      <c r="J60" s="73"/>
      <c r="K60" s="75"/>
      <c r="L60" s="70"/>
    </row>
    <row r="61" spans="3:15" x14ac:dyDescent="0.35">
      <c r="C61" s="61" t="s">
        <v>75</v>
      </c>
      <c r="D61" s="207">
        <v>10000</v>
      </c>
      <c r="E61" s="208"/>
      <c r="H61" s="67" t="s">
        <v>42</v>
      </c>
      <c r="I61" s="67" t="s">
        <v>43</v>
      </c>
      <c r="J61" s="67" t="s">
        <v>44</v>
      </c>
      <c r="K61" s="66"/>
      <c r="L61" s="70"/>
    </row>
    <row r="62" spans="3:15" x14ac:dyDescent="0.35">
      <c r="C62" s="76" t="s">
        <v>83</v>
      </c>
      <c r="D62" s="217">
        <f>SUM(D59:E61)</f>
        <v>10000</v>
      </c>
      <c r="E62" s="218"/>
      <c r="H62" s="42" t="s">
        <v>46</v>
      </c>
      <c r="I62" s="42" t="s">
        <v>48</v>
      </c>
      <c r="J62" s="68">
        <f>M13-O13-N13-L13+I13</f>
        <v>460967</v>
      </c>
      <c r="K62" s="69">
        <v>282651</v>
      </c>
      <c r="L62" s="70">
        <f t="shared" si="11"/>
        <v>178316</v>
      </c>
    </row>
    <row r="63" spans="3:15" x14ac:dyDescent="0.35">
      <c r="C63" s="77" t="s">
        <v>67</v>
      </c>
      <c r="D63" s="219">
        <f>D58-D59-D61-D60</f>
        <v>2604607</v>
      </c>
      <c r="E63" s="220"/>
      <c r="H63" s="42" t="s">
        <v>46</v>
      </c>
      <c r="I63" s="42" t="s">
        <v>47</v>
      </c>
      <c r="J63" s="68">
        <f>M14-O14-N14-L14+I14</f>
        <v>1203371</v>
      </c>
      <c r="K63" s="69">
        <v>1508814</v>
      </c>
      <c r="L63" s="70">
        <f t="shared" si="11"/>
        <v>-305443</v>
      </c>
      <c r="N63" s="68"/>
    </row>
    <row r="64" spans="3:15" x14ac:dyDescent="0.35">
      <c r="C64" s="78" t="s">
        <v>68</v>
      </c>
      <c r="D64" s="221"/>
      <c r="E64" s="222"/>
      <c r="H64" s="42" t="s">
        <v>46</v>
      </c>
      <c r="I64" s="42" t="s">
        <v>15</v>
      </c>
      <c r="J64" s="68">
        <f>M17-O17-N17-L17+I17</f>
        <v>617689</v>
      </c>
      <c r="K64" s="69">
        <v>612306</v>
      </c>
      <c r="L64" s="70">
        <f t="shared" si="11"/>
        <v>5383</v>
      </c>
      <c r="M64" s="68"/>
      <c r="N64" s="68"/>
    </row>
    <row r="65" spans="3:14" x14ac:dyDescent="0.35">
      <c r="C65" s="61" t="s">
        <v>14</v>
      </c>
      <c r="D65" s="213">
        <v>0</v>
      </c>
      <c r="E65" s="214"/>
      <c r="H65" s="42" t="s">
        <v>46</v>
      </c>
      <c r="I65" s="42" t="s">
        <v>20</v>
      </c>
      <c r="J65" s="68">
        <v>8160</v>
      </c>
      <c r="K65" s="69">
        <v>8160</v>
      </c>
      <c r="L65" s="70">
        <f t="shared" si="11"/>
        <v>0</v>
      </c>
    </row>
    <row r="66" spans="3:14" x14ac:dyDescent="0.35">
      <c r="C66" s="61" t="s">
        <v>72</v>
      </c>
      <c r="D66" s="213">
        <v>0</v>
      </c>
      <c r="E66" s="214"/>
      <c r="H66" s="42" t="s">
        <v>27</v>
      </c>
      <c r="I66" s="42" t="s">
        <v>47</v>
      </c>
      <c r="J66" s="68">
        <f>M21-O21-N21-L21+I21</f>
        <v>51257</v>
      </c>
      <c r="K66" s="69">
        <v>51257</v>
      </c>
      <c r="L66" s="70">
        <f>J66-K66</f>
        <v>0</v>
      </c>
    </row>
    <row r="67" spans="3:14" x14ac:dyDescent="0.35">
      <c r="C67" s="61" t="s">
        <v>69</v>
      </c>
      <c r="D67" s="213">
        <v>0</v>
      </c>
      <c r="E67" s="214"/>
      <c r="H67" s="72" t="s">
        <v>45</v>
      </c>
      <c r="I67" s="72"/>
      <c r="J67" s="73">
        <f>SUM(J62:J66)</f>
        <v>2341444</v>
      </c>
      <c r="K67" s="69">
        <f>SUM(K62:K66)</f>
        <v>2463188</v>
      </c>
      <c r="L67" s="70">
        <f>J67-K67</f>
        <v>-121744</v>
      </c>
    </row>
    <row r="68" spans="3:14" x14ac:dyDescent="0.35">
      <c r="C68" s="61" t="s">
        <v>70</v>
      </c>
      <c r="D68" s="213">
        <v>0</v>
      </c>
      <c r="E68" s="214"/>
      <c r="F68" s="68"/>
      <c r="H68" s="67" t="s">
        <v>42</v>
      </c>
      <c r="I68" s="67" t="s">
        <v>43</v>
      </c>
      <c r="J68" s="67" t="s">
        <v>44</v>
      </c>
    </row>
    <row r="69" spans="3:14" x14ac:dyDescent="0.35">
      <c r="C69" s="61" t="s">
        <v>71</v>
      </c>
      <c r="D69" s="213">
        <v>0</v>
      </c>
      <c r="E69" s="214"/>
      <c r="F69" s="79"/>
      <c r="G69" s="80"/>
      <c r="H69" s="42" t="s">
        <v>49</v>
      </c>
      <c r="I69" s="42" t="s">
        <v>51</v>
      </c>
      <c r="J69" s="68">
        <f>M29-O29-N29-L29+I29+G69+I30</f>
        <v>1479248</v>
      </c>
      <c r="K69" s="69">
        <v>1380437</v>
      </c>
      <c r="L69" s="70">
        <f t="shared" ref="L69:L75" si="12">J69-K69</f>
        <v>98811</v>
      </c>
      <c r="N69" s="68"/>
    </row>
    <row r="70" spans="3:14" x14ac:dyDescent="0.35">
      <c r="C70" s="77" t="s">
        <v>73</v>
      </c>
      <c r="D70" s="219">
        <f>SUM(D65:D69)</f>
        <v>0</v>
      </c>
      <c r="E70" s="220"/>
      <c r="F70" s="68"/>
      <c r="H70" s="42" t="s">
        <v>49</v>
      </c>
      <c r="I70" s="42" t="s">
        <v>18</v>
      </c>
      <c r="J70" s="68">
        <f>M31-O31-N31-L31+I31</f>
        <v>174473</v>
      </c>
      <c r="K70" s="69">
        <v>174473</v>
      </c>
      <c r="L70" s="70">
        <f t="shared" si="12"/>
        <v>0</v>
      </c>
    </row>
    <row r="71" spans="3:14" x14ac:dyDescent="0.35">
      <c r="C71" s="81" t="s">
        <v>74</v>
      </c>
      <c r="D71" s="223">
        <f>D63-D70</f>
        <v>2604607</v>
      </c>
      <c r="E71" s="224"/>
      <c r="F71" s="68"/>
      <c r="H71" s="42" t="s">
        <v>49</v>
      </c>
      <c r="I71" s="42" t="s">
        <v>15</v>
      </c>
      <c r="J71" s="68">
        <f>M32-O32-N32-L32+I32</f>
        <v>35126</v>
      </c>
      <c r="K71" s="69">
        <v>35126</v>
      </c>
      <c r="L71" s="70">
        <f t="shared" si="12"/>
        <v>0</v>
      </c>
    </row>
    <row r="72" spans="3:14" x14ac:dyDescent="0.35">
      <c r="C72" s="61"/>
      <c r="D72" s="213">
        <v>3102990</v>
      </c>
      <c r="E72" s="214"/>
      <c r="H72" s="42" t="s">
        <v>49</v>
      </c>
      <c r="I72" s="42" t="s">
        <v>50</v>
      </c>
      <c r="J72" s="68">
        <f>M33-O33-N33-L33+I33+G72</f>
        <v>1370709</v>
      </c>
      <c r="K72" s="69">
        <v>1281692</v>
      </c>
      <c r="L72" s="70">
        <f t="shared" si="12"/>
        <v>89017</v>
      </c>
    </row>
    <row r="73" spans="3:14" x14ac:dyDescent="0.35">
      <c r="C73" s="61"/>
      <c r="D73" s="213">
        <f>D71-D72</f>
        <v>-498383</v>
      </c>
      <c r="E73" s="214"/>
      <c r="H73" s="42" t="s">
        <v>49</v>
      </c>
      <c r="I73" s="42" t="s">
        <v>20</v>
      </c>
      <c r="J73" s="68">
        <f>'Opening Balance FEB 2026'!F24</f>
        <v>66046</v>
      </c>
      <c r="K73" s="69">
        <v>96296</v>
      </c>
      <c r="L73" s="70">
        <f t="shared" si="12"/>
        <v>-30250</v>
      </c>
    </row>
    <row r="74" spans="3:14" x14ac:dyDescent="0.35">
      <c r="H74" s="42" t="s">
        <v>49</v>
      </c>
      <c r="I74" s="42" t="s">
        <v>47</v>
      </c>
      <c r="J74" s="68">
        <f>'Opening Balance FEB 2026'!F25</f>
        <v>23570</v>
      </c>
      <c r="K74" s="69">
        <v>23570</v>
      </c>
      <c r="L74" s="70">
        <f t="shared" si="12"/>
        <v>0</v>
      </c>
    </row>
    <row r="75" spans="3:14" x14ac:dyDescent="0.35">
      <c r="H75" s="72" t="s">
        <v>45</v>
      </c>
      <c r="I75" s="72"/>
      <c r="J75" s="73">
        <f>SUM(J69:J74)</f>
        <v>3149172</v>
      </c>
      <c r="K75" s="69">
        <v>3174422</v>
      </c>
      <c r="L75" s="70">
        <f t="shared" si="12"/>
        <v>-25250</v>
      </c>
      <c r="N75" s="68"/>
    </row>
    <row r="76" spans="3:14" x14ac:dyDescent="0.35">
      <c r="H76" s="67" t="s">
        <v>42</v>
      </c>
      <c r="I76" s="67" t="s">
        <v>43</v>
      </c>
      <c r="J76" s="67" t="s">
        <v>44</v>
      </c>
    </row>
    <row r="77" spans="3:14" x14ac:dyDescent="0.35">
      <c r="H77" s="42" t="s">
        <v>52</v>
      </c>
      <c r="I77" s="42" t="s">
        <v>53</v>
      </c>
      <c r="J77" s="68">
        <f>M23-O23-N23-L23+I23-G76</f>
        <v>33969</v>
      </c>
      <c r="K77" s="68">
        <v>33969</v>
      </c>
      <c r="L77" s="70">
        <f>J77-K77</f>
        <v>0</v>
      </c>
    </row>
    <row r="78" spans="3:14" x14ac:dyDescent="0.35">
      <c r="H78" s="42" t="s">
        <v>52</v>
      </c>
      <c r="I78" s="42" t="s">
        <v>47</v>
      </c>
      <c r="J78" s="68">
        <f>M24-O24-N24-L24+I24</f>
        <v>160846</v>
      </c>
      <c r="K78" s="82">
        <v>33969</v>
      </c>
      <c r="L78" s="70">
        <f>J78-K78</f>
        <v>126877</v>
      </c>
    </row>
    <row r="79" spans="3:14" x14ac:dyDescent="0.35">
      <c r="H79" s="72" t="s">
        <v>45</v>
      </c>
      <c r="I79" s="72"/>
      <c r="J79" s="73">
        <f>SUM(J77:J78)</f>
        <v>194815</v>
      </c>
      <c r="K79" s="68">
        <v>160846</v>
      </c>
      <c r="L79" s="70">
        <f>J79-K79</f>
        <v>33969</v>
      </c>
    </row>
    <row r="80" spans="3:14" x14ac:dyDescent="0.35">
      <c r="G80" s="42">
        <v>0</v>
      </c>
      <c r="H80" s="67" t="s">
        <v>42</v>
      </c>
      <c r="I80" s="67" t="s">
        <v>43</v>
      </c>
      <c r="J80" s="67" t="s">
        <v>44</v>
      </c>
      <c r="K80" s="69">
        <v>0</v>
      </c>
      <c r="L80" s="70"/>
    </row>
    <row r="81" spans="4:12" x14ac:dyDescent="0.35">
      <c r="H81" s="42" t="s">
        <v>54</v>
      </c>
      <c r="I81" s="42" t="s">
        <v>53</v>
      </c>
      <c r="J81" s="68">
        <f>M26-O26-N26-L26+I26-G80</f>
        <v>89658</v>
      </c>
      <c r="K81" s="69">
        <v>89658</v>
      </c>
      <c r="L81" s="70">
        <f>J81-K81</f>
        <v>0</v>
      </c>
    </row>
    <row r="82" spans="4:12" x14ac:dyDescent="0.35">
      <c r="H82" s="42" t="s">
        <v>54</v>
      </c>
      <c r="I82" s="42" t="s">
        <v>18</v>
      </c>
      <c r="J82" s="68">
        <f>M27-O27-N27-L27+I27</f>
        <v>42000</v>
      </c>
      <c r="K82" s="69">
        <v>67000</v>
      </c>
      <c r="L82" s="70">
        <f>J82-K82</f>
        <v>-25000</v>
      </c>
    </row>
    <row r="83" spans="4:12" x14ac:dyDescent="0.35">
      <c r="H83" s="72" t="s">
        <v>45</v>
      </c>
      <c r="I83" s="72"/>
      <c r="J83" s="73">
        <f>SUM(J81:J82)</f>
        <v>131658</v>
      </c>
      <c r="K83" s="68">
        <f>SUM(K80:K82)</f>
        <v>156658</v>
      </c>
      <c r="L83" s="70">
        <f>J83-K83</f>
        <v>-25000</v>
      </c>
    </row>
    <row r="84" spans="4:12" x14ac:dyDescent="0.35">
      <c r="H84" s="67" t="s">
        <v>42</v>
      </c>
      <c r="I84" s="67" t="s">
        <v>43</v>
      </c>
      <c r="J84" s="67" t="s">
        <v>44</v>
      </c>
      <c r="K84" s="69">
        <v>0</v>
      </c>
      <c r="L84" s="70"/>
    </row>
    <row r="85" spans="4:12" x14ac:dyDescent="0.35">
      <c r="H85" s="42" t="s">
        <v>55</v>
      </c>
      <c r="I85" s="42" t="s">
        <v>56</v>
      </c>
      <c r="J85" s="68">
        <f>'Opening Balance FEB 2026'!F36</f>
        <v>103541</v>
      </c>
      <c r="K85" s="69">
        <v>103541</v>
      </c>
      <c r="L85" s="70">
        <f>J85-K85</f>
        <v>0</v>
      </c>
    </row>
    <row r="86" spans="4:12" x14ac:dyDescent="0.35">
      <c r="H86" s="42" t="s">
        <v>55</v>
      </c>
      <c r="I86" s="42" t="s">
        <v>47</v>
      </c>
      <c r="J86" s="68">
        <f>'Opening Balance FEB 2026'!F37</f>
        <v>6013</v>
      </c>
      <c r="K86" s="69">
        <v>6013</v>
      </c>
      <c r="L86" s="70">
        <f>J86-K86</f>
        <v>0</v>
      </c>
    </row>
    <row r="87" spans="4:12" x14ac:dyDescent="0.35">
      <c r="H87" s="72" t="s">
        <v>45</v>
      </c>
      <c r="I87" s="72"/>
      <c r="J87" s="73">
        <v>109554</v>
      </c>
      <c r="K87" s="68">
        <f>SUM(K84:K86)</f>
        <v>109554</v>
      </c>
      <c r="L87" s="70">
        <f>J87-K87</f>
        <v>0</v>
      </c>
    </row>
    <row r="88" spans="4:12" x14ac:dyDescent="0.35">
      <c r="H88" s="67" t="s">
        <v>42</v>
      </c>
      <c r="I88" s="67" t="s">
        <v>43</v>
      </c>
      <c r="J88" s="67" t="s">
        <v>44</v>
      </c>
      <c r="K88" s="69">
        <v>0</v>
      </c>
      <c r="L88" s="70"/>
    </row>
    <row r="89" spans="4:12" x14ac:dyDescent="0.35">
      <c r="H89" s="42" t="s">
        <v>57</v>
      </c>
      <c r="I89" s="42" t="s">
        <v>47</v>
      </c>
      <c r="J89" s="68">
        <f>'Opening Balance FEB 2026'!F40</f>
        <v>16440</v>
      </c>
      <c r="K89" s="69">
        <v>16440</v>
      </c>
      <c r="L89" s="70">
        <f>J89-K89</f>
        <v>0</v>
      </c>
    </row>
    <row r="90" spans="4:12" x14ac:dyDescent="0.35">
      <c r="H90" s="72" t="s">
        <v>45</v>
      </c>
      <c r="I90" s="72"/>
      <c r="J90" s="73">
        <v>16440</v>
      </c>
      <c r="K90" s="69">
        <f>SUM(K88:K89)</f>
        <v>16440</v>
      </c>
    </row>
    <row r="91" spans="4:12" x14ac:dyDescent="0.35">
      <c r="J91" s="68"/>
    </row>
    <row r="92" spans="4:12" x14ac:dyDescent="0.35">
      <c r="H92" s="83" t="s">
        <v>58</v>
      </c>
      <c r="I92" s="83"/>
      <c r="J92" s="84">
        <f>J90+J87+J83+J79+J75+J67+J59</f>
        <v>12915945</v>
      </c>
    </row>
    <row r="94" spans="4:12" x14ac:dyDescent="0.35">
      <c r="D94" s="85" t="s">
        <v>82</v>
      </c>
      <c r="E94" s="85"/>
      <c r="F94" s="85"/>
      <c r="G94" s="85"/>
      <c r="H94" s="85"/>
    </row>
    <row r="95" spans="4:12" x14ac:dyDescent="0.35">
      <c r="D95" s="78" t="s">
        <v>42</v>
      </c>
      <c r="E95" s="78" t="s">
        <v>43</v>
      </c>
      <c r="F95" s="78" t="s">
        <v>79</v>
      </c>
      <c r="G95" s="78" t="s">
        <v>80</v>
      </c>
      <c r="H95" s="78" t="s">
        <v>81</v>
      </c>
    </row>
    <row r="96" spans="4:12" x14ac:dyDescent="0.35">
      <c r="D96" s="61" t="s">
        <v>14</v>
      </c>
      <c r="E96" s="61" t="s">
        <v>15</v>
      </c>
      <c r="F96" s="86">
        <f>H5</f>
        <v>65754</v>
      </c>
      <c r="G96" s="86">
        <f>O5</f>
        <v>39440</v>
      </c>
      <c r="H96" s="86">
        <f>I5</f>
        <v>23341</v>
      </c>
    </row>
    <row r="97" spans="4:8" x14ac:dyDescent="0.35">
      <c r="D97" s="61" t="s">
        <v>14</v>
      </c>
      <c r="E97" s="61" t="s">
        <v>17</v>
      </c>
      <c r="F97" s="86">
        <f>H7</f>
        <v>0</v>
      </c>
      <c r="G97" s="86">
        <f t="shared" ref="G97:G101" si="13">O7</f>
        <v>195000</v>
      </c>
      <c r="H97" s="86">
        <f t="shared" ref="H97:H101" si="14">I7</f>
        <v>0</v>
      </c>
    </row>
    <row r="98" spans="4:8" x14ac:dyDescent="0.35">
      <c r="D98" s="61" t="s">
        <v>14</v>
      </c>
      <c r="E98" s="61" t="s">
        <v>18</v>
      </c>
      <c r="F98" s="86">
        <f>H8</f>
        <v>98745</v>
      </c>
      <c r="G98" s="86">
        <f t="shared" si="13"/>
        <v>70596</v>
      </c>
      <c r="H98" s="86">
        <f t="shared" si="14"/>
        <v>50137</v>
      </c>
    </row>
    <row r="99" spans="4:8" x14ac:dyDescent="0.35">
      <c r="D99" s="61" t="s">
        <v>14</v>
      </c>
      <c r="E99" s="61" t="s">
        <v>19</v>
      </c>
      <c r="F99" s="86">
        <f>H9</f>
        <v>66211</v>
      </c>
      <c r="G99" s="86">
        <f t="shared" si="13"/>
        <v>91603</v>
      </c>
      <c r="H99" s="86">
        <f t="shared" si="14"/>
        <v>59729</v>
      </c>
    </row>
    <row r="100" spans="4:8" x14ac:dyDescent="0.35">
      <c r="D100" s="61" t="s">
        <v>14</v>
      </c>
      <c r="E100" s="61" t="s">
        <v>20</v>
      </c>
      <c r="F100" s="86">
        <f>H10</f>
        <v>105084</v>
      </c>
      <c r="G100" s="86">
        <f t="shared" si="13"/>
        <v>27349</v>
      </c>
      <c r="H100" s="86">
        <f t="shared" si="14"/>
        <v>65489</v>
      </c>
    </row>
    <row r="101" spans="4:8" x14ac:dyDescent="0.35">
      <c r="D101" s="61" t="s">
        <v>14</v>
      </c>
      <c r="E101" s="61" t="s">
        <v>21</v>
      </c>
      <c r="F101" s="86" t="e">
        <f>H11+#REF!</f>
        <v>#REF!</v>
      </c>
      <c r="G101" s="86">
        <f t="shared" si="13"/>
        <v>31775</v>
      </c>
      <c r="H101" s="86">
        <f t="shared" si="14"/>
        <v>29601</v>
      </c>
    </row>
    <row r="102" spans="4:8" x14ac:dyDescent="0.35">
      <c r="D102" s="87" t="s">
        <v>45</v>
      </c>
      <c r="E102" s="87"/>
      <c r="F102" s="88" t="e">
        <f>SUM(F96:F101)</f>
        <v>#REF!</v>
      </c>
      <c r="G102" s="88">
        <f t="shared" ref="G102" si="15">SUM(G96:G101)</f>
        <v>455763</v>
      </c>
      <c r="H102" s="88">
        <f>SUM(H96:H101)</f>
        <v>228297</v>
      </c>
    </row>
    <row r="103" spans="4:8" x14ac:dyDescent="0.35">
      <c r="D103" s="78" t="s">
        <v>42</v>
      </c>
      <c r="E103" s="78" t="s">
        <v>43</v>
      </c>
      <c r="F103" s="89" t="s">
        <v>79</v>
      </c>
      <c r="G103" s="89" t="s">
        <v>80</v>
      </c>
      <c r="H103" s="89" t="s">
        <v>81</v>
      </c>
    </row>
    <row r="104" spans="4:8" x14ac:dyDescent="0.35">
      <c r="D104" s="61" t="s">
        <v>46</v>
      </c>
      <c r="E104" s="61" t="s">
        <v>48</v>
      </c>
      <c r="F104" s="86">
        <f>H13</f>
        <v>104000</v>
      </c>
      <c r="G104" s="86">
        <f>O13</f>
        <v>13413</v>
      </c>
      <c r="H104" s="86">
        <f>I13</f>
        <v>38492</v>
      </c>
    </row>
    <row r="105" spans="4:8" x14ac:dyDescent="0.35">
      <c r="D105" s="61" t="s">
        <v>46</v>
      </c>
      <c r="E105" s="61" t="s">
        <v>47</v>
      </c>
      <c r="F105" s="86">
        <f>H14</f>
        <v>115818</v>
      </c>
      <c r="G105" s="86">
        <f>O14</f>
        <v>330163</v>
      </c>
      <c r="H105" s="86">
        <f>I14</f>
        <v>34766</v>
      </c>
    </row>
    <row r="106" spans="4:8" x14ac:dyDescent="0.35">
      <c r="D106" s="61" t="s">
        <v>27</v>
      </c>
      <c r="E106" s="61" t="s">
        <v>47</v>
      </c>
      <c r="F106" s="86">
        <v>0</v>
      </c>
      <c r="G106" s="86">
        <v>0</v>
      </c>
      <c r="H106" s="86">
        <v>0</v>
      </c>
    </row>
    <row r="107" spans="4:8" x14ac:dyDescent="0.35">
      <c r="D107" s="87" t="s">
        <v>45</v>
      </c>
      <c r="E107" s="87"/>
      <c r="F107" s="88">
        <f>SUM(F104:F106)</f>
        <v>219818</v>
      </c>
      <c r="G107" s="88">
        <f>SUM(G104:G106)</f>
        <v>343576</v>
      </c>
      <c r="H107" s="88">
        <f>SUM(H104:H106)</f>
        <v>73258</v>
      </c>
    </row>
    <row r="108" spans="4:8" x14ac:dyDescent="0.35">
      <c r="D108" s="78" t="s">
        <v>42</v>
      </c>
      <c r="E108" s="78" t="s">
        <v>43</v>
      </c>
      <c r="F108" s="89" t="s">
        <v>79</v>
      </c>
      <c r="G108" s="89" t="s">
        <v>80</v>
      </c>
      <c r="H108" s="89" t="s">
        <v>81</v>
      </c>
    </row>
    <row r="109" spans="4:8" x14ac:dyDescent="0.35">
      <c r="D109" s="61" t="s">
        <v>49</v>
      </c>
      <c r="E109" s="61" t="s">
        <v>51</v>
      </c>
      <c r="F109" s="86">
        <f>H29</f>
        <v>33068</v>
      </c>
      <c r="G109" s="86">
        <f>O29</f>
        <v>18000</v>
      </c>
      <c r="H109" s="86">
        <f>I29</f>
        <v>33068</v>
      </c>
    </row>
    <row r="110" spans="4:8" x14ac:dyDescent="0.35">
      <c r="D110" s="61" t="s">
        <v>49</v>
      </c>
      <c r="E110" s="61" t="s">
        <v>18</v>
      </c>
      <c r="F110" s="86">
        <f>H31</f>
        <v>0</v>
      </c>
      <c r="G110" s="86">
        <f>O31</f>
        <v>0</v>
      </c>
      <c r="H110" s="86">
        <v>0</v>
      </c>
    </row>
    <row r="111" spans="4:8" x14ac:dyDescent="0.35">
      <c r="D111" s="61" t="s">
        <v>49</v>
      </c>
      <c r="E111" s="61" t="s">
        <v>50</v>
      </c>
      <c r="F111" s="86" t="e">
        <f>#REF!+#REF!</f>
        <v>#REF!</v>
      </c>
      <c r="G111" s="86" t="e">
        <f>#REF!</f>
        <v>#REF!</v>
      </c>
      <c r="H111" s="86" t="e">
        <f>#REF!+#REF!</f>
        <v>#REF!</v>
      </c>
    </row>
    <row r="112" spans="4:8" x14ac:dyDescent="0.35">
      <c r="D112" s="87" t="s">
        <v>45</v>
      </c>
      <c r="E112" s="87"/>
      <c r="F112" s="88" t="e">
        <f>SUM(F109:F111)</f>
        <v>#REF!</v>
      </c>
      <c r="G112" s="88" t="e">
        <f>SUM(G109:G111)</f>
        <v>#REF!</v>
      </c>
      <c r="H112" s="88" t="e">
        <f>SUM(H109:H111)</f>
        <v>#REF!</v>
      </c>
    </row>
    <row r="113" spans="4:8" x14ac:dyDescent="0.35">
      <c r="D113" s="78" t="s">
        <v>42</v>
      </c>
      <c r="E113" s="78" t="s">
        <v>43</v>
      </c>
      <c r="F113" s="89" t="s">
        <v>79</v>
      </c>
      <c r="G113" s="89" t="s">
        <v>80</v>
      </c>
      <c r="H113" s="89" t="s">
        <v>81</v>
      </c>
    </row>
    <row r="114" spans="4:8" x14ac:dyDescent="0.35">
      <c r="D114" s="61" t="s">
        <v>52</v>
      </c>
      <c r="E114" s="61" t="s">
        <v>53</v>
      </c>
      <c r="F114" s="86">
        <f>H23</f>
        <v>0</v>
      </c>
      <c r="G114" s="86">
        <f>O23</f>
        <v>0</v>
      </c>
      <c r="H114" s="86">
        <f>I23</f>
        <v>0</v>
      </c>
    </row>
    <row r="115" spans="4:8" x14ac:dyDescent="0.35">
      <c r="D115" s="87" t="s">
        <v>45</v>
      </c>
      <c r="E115" s="87"/>
      <c r="F115" s="88">
        <f>SUM(F114)</f>
        <v>0</v>
      </c>
      <c r="G115" s="88">
        <f t="shared" ref="G115" si="16">SUM(G114)</f>
        <v>0</v>
      </c>
      <c r="H115" s="88">
        <f>SUM(H114)</f>
        <v>0</v>
      </c>
    </row>
    <row r="116" spans="4:8" x14ac:dyDescent="0.35">
      <c r="D116" s="78" t="s">
        <v>42</v>
      </c>
      <c r="E116" s="78" t="s">
        <v>43</v>
      </c>
      <c r="F116" s="89" t="s">
        <v>79</v>
      </c>
      <c r="G116" s="89" t="s">
        <v>80</v>
      </c>
      <c r="H116" s="89" t="s">
        <v>81</v>
      </c>
    </row>
    <row r="117" spans="4:8" x14ac:dyDescent="0.35">
      <c r="D117" s="61" t="s">
        <v>54</v>
      </c>
      <c r="E117" s="61" t="s">
        <v>53</v>
      </c>
      <c r="F117" s="86">
        <f>H26</f>
        <v>0</v>
      </c>
      <c r="G117" s="86">
        <f>O26</f>
        <v>0</v>
      </c>
      <c r="H117" s="86">
        <f>I26</f>
        <v>0</v>
      </c>
    </row>
    <row r="118" spans="4:8" x14ac:dyDescent="0.35">
      <c r="D118" s="61" t="s">
        <v>54</v>
      </c>
      <c r="E118" s="61" t="s">
        <v>18</v>
      </c>
      <c r="F118" s="86">
        <f>H27</f>
        <v>0</v>
      </c>
      <c r="G118" s="86">
        <f>O27</f>
        <v>0</v>
      </c>
      <c r="H118" s="86">
        <f>I27</f>
        <v>0</v>
      </c>
    </row>
    <row r="119" spans="4:8" x14ac:dyDescent="0.35">
      <c r="D119" s="87" t="s">
        <v>45</v>
      </c>
      <c r="E119" s="87"/>
      <c r="F119" s="88">
        <f>SUM(F117:F118)</f>
        <v>0</v>
      </c>
      <c r="G119" s="88">
        <f t="shared" ref="G119" si="17">SUM(G117:G118)</f>
        <v>0</v>
      </c>
      <c r="H119" s="88">
        <f>SUM(H117:H118)</f>
        <v>0</v>
      </c>
    </row>
    <row r="120" spans="4:8" x14ac:dyDescent="0.35">
      <c r="D120" s="90"/>
      <c r="E120" s="90"/>
      <c r="F120" s="91" t="e">
        <f>F119+F115+F112+F107+F102</f>
        <v>#REF!</v>
      </c>
      <c r="G120" s="91" t="e">
        <f t="shared" ref="G120" si="18">G119+G115+G112+G107+G102</f>
        <v>#REF!</v>
      </c>
      <c r="H120" s="91" t="e">
        <f>H119+H115+H112+H107+H102</f>
        <v>#REF!</v>
      </c>
    </row>
  </sheetData>
  <mergeCells count="43">
    <mergeCell ref="M46:O46"/>
    <mergeCell ref="C2:O2"/>
    <mergeCell ref="C3:O3"/>
    <mergeCell ref="H36:I36"/>
    <mergeCell ref="K37:L37"/>
    <mergeCell ref="M37:O37"/>
    <mergeCell ref="C38:D38"/>
    <mergeCell ref="K38:L38"/>
    <mergeCell ref="K39:L39"/>
    <mergeCell ref="K40:L40"/>
    <mergeCell ref="K41:L41"/>
    <mergeCell ref="K42:L42"/>
    <mergeCell ref="K46:L46"/>
    <mergeCell ref="K47:L47"/>
    <mergeCell ref="M47:O47"/>
    <mergeCell ref="K48:L48"/>
    <mergeCell ref="M48:O48"/>
    <mergeCell ref="K49:L49"/>
    <mergeCell ref="M49:O49"/>
    <mergeCell ref="D61:E61"/>
    <mergeCell ref="K50:L50"/>
    <mergeCell ref="M50:O50"/>
    <mergeCell ref="H51:J51"/>
    <mergeCell ref="K51:K52"/>
    <mergeCell ref="C54:E54"/>
    <mergeCell ref="C55:E55"/>
    <mergeCell ref="D56:E56"/>
    <mergeCell ref="D57:E57"/>
    <mergeCell ref="D58:E58"/>
    <mergeCell ref="D59:E59"/>
    <mergeCell ref="D60:E60"/>
    <mergeCell ref="D73:E73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</mergeCells>
  <pageMargins left="0.7" right="0.7" top="0.75" bottom="0.75" header="0.3" footer="0.3"/>
  <pageSetup orientation="portrait" verticalDpi="0" r:id="rId1"/>
  <ignoredErrors>
    <ignoredError sqref="I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9"/>
  <sheetViews>
    <sheetView topLeftCell="A43" zoomScale="60" zoomScaleNormal="60" workbookViewId="0">
      <selection activeCell="A34" sqref="A1:XFD1048576"/>
    </sheetView>
  </sheetViews>
  <sheetFormatPr defaultRowHeight="21" x14ac:dyDescent="0.35"/>
  <cols>
    <col min="1" max="1" width="5.5703125" style="42" customWidth="1"/>
    <col min="2" max="2" width="0.140625" style="42" hidden="1" customWidth="1"/>
    <col min="3" max="3" width="20.85546875" style="42" customWidth="1"/>
    <col min="4" max="4" width="25.42578125" style="42" customWidth="1"/>
    <col min="5" max="5" width="17.140625" style="42" customWidth="1"/>
    <col min="6" max="6" width="20.85546875" style="42" customWidth="1"/>
    <col min="7" max="7" width="21" style="42" customWidth="1"/>
    <col min="8" max="8" width="22.140625" style="42" bestFit="1" customWidth="1"/>
    <col min="9" max="9" width="22.85546875" style="42" bestFit="1" customWidth="1"/>
    <col min="10" max="10" width="21.42578125" style="42" customWidth="1"/>
    <col min="11" max="11" width="20.85546875" style="42" customWidth="1"/>
    <col min="12" max="12" width="21.140625" style="42" customWidth="1"/>
    <col min="13" max="13" width="26.140625" style="42" bestFit="1" customWidth="1"/>
    <col min="14" max="14" width="15.7109375" style="42" customWidth="1"/>
    <col min="15" max="15" width="22" style="42" customWidth="1"/>
    <col min="16" max="16" width="7.5703125" style="42" customWidth="1"/>
    <col min="17" max="17" width="14.28515625" style="42" bestFit="1" customWidth="1"/>
    <col min="18" max="18" width="11.42578125" style="42" customWidth="1"/>
    <col min="19" max="16384" width="9.140625" style="42"/>
  </cols>
  <sheetData>
    <row r="2" spans="1:16" x14ac:dyDescent="0.35">
      <c r="C2" s="194">
        <v>46085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6"/>
    </row>
    <row r="3" spans="1:16" x14ac:dyDescent="0.35">
      <c r="C3" s="197" t="s">
        <v>0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6" ht="84" x14ac:dyDescent="0.35">
      <c r="A4" s="96"/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  <c r="J4" s="40" t="s">
        <v>8</v>
      </c>
      <c r="K4" s="43" t="s">
        <v>9</v>
      </c>
      <c r="L4" s="43" t="s">
        <v>10</v>
      </c>
      <c r="M4" s="44" t="s">
        <v>11</v>
      </c>
      <c r="N4" s="45" t="s">
        <v>12</v>
      </c>
      <c r="O4" s="40" t="s">
        <v>13</v>
      </c>
    </row>
    <row r="5" spans="1:16" x14ac:dyDescent="0.35">
      <c r="A5" s="46"/>
      <c r="C5" s="37" t="s">
        <v>14</v>
      </c>
      <c r="D5" s="38" t="s">
        <v>15</v>
      </c>
      <c r="E5" s="39" t="s">
        <v>92</v>
      </c>
      <c r="F5" s="27">
        <v>0</v>
      </c>
      <c r="G5" s="27">
        <v>0</v>
      </c>
      <c r="H5" s="28">
        <f>F5-G5</f>
        <v>0</v>
      </c>
      <c r="I5" s="28">
        <f>H5-J5</f>
        <v>0</v>
      </c>
      <c r="J5" s="25">
        <v>0</v>
      </c>
      <c r="K5" s="29">
        <v>0</v>
      </c>
      <c r="L5" s="25">
        <v>0</v>
      </c>
      <c r="M5" s="27">
        <f>'03-03-2026'!J53</f>
        <v>347450</v>
      </c>
      <c r="N5" s="29">
        <v>0</v>
      </c>
      <c r="O5" s="30">
        <v>0</v>
      </c>
      <c r="P5" s="47"/>
    </row>
    <row r="6" spans="1:16" x14ac:dyDescent="0.35">
      <c r="A6" s="46"/>
      <c r="C6" s="37" t="s">
        <v>14</v>
      </c>
      <c r="D6" s="38" t="s">
        <v>17</v>
      </c>
      <c r="E6" s="39" t="s">
        <v>86</v>
      </c>
      <c r="F6" s="27">
        <v>455554</v>
      </c>
      <c r="G6" s="27">
        <v>0</v>
      </c>
      <c r="H6" s="28">
        <f t="shared" ref="H6:H11" si="0">F6-G6</f>
        <v>455554</v>
      </c>
      <c r="I6" s="28">
        <f t="shared" ref="I6:I11" si="1">H6-J6</f>
        <v>455554</v>
      </c>
      <c r="J6" s="25">
        <v>0</v>
      </c>
      <c r="K6" s="29">
        <v>0</v>
      </c>
      <c r="L6" s="25">
        <v>0</v>
      </c>
      <c r="M6" s="27">
        <f>'03-03-2026'!J54</f>
        <v>3106305</v>
      </c>
      <c r="N6" s="29">
        <v>0</v>
      </c>
      <c r="O6" s="30">
        <v>0</v>
      </c>
    </row>
    <row r="7" spans="1:16" x14ac:dyDescent="0.35">
      <c r="A7" s="46"/>
      <c r="C7" s="37" t="s">
        <v>14</v>
      </c>
      <c r="D7" s="38" t="s">
        <v>18</v>
      </c>
      <c r="E7" s="39" t="s">
        <v>95</v>
      </c>
      <c r="F7" s="27">
        <v>124731</v>
      </c>
      <c r="G7" s="27">
        <v>0</v>
      </c>
      <c r="H7" s="28">
        <f t="shared" si="0"/>
        <v>124731</v>
      </c>
      <c r="I7" s="28">
        <f t="shared" si="1"/>
        <v>103871</v>
      </c>
      <c r="J7" s="25">
        <v>20860</v>
      </c>
      <c r="K7" s="29">
        <v>0</v>
      </c>
      <c r="L7" s="25">
        <v>0</v>
      </c>
      <c r="M7" s="27">
        <f>'03-03-2026'!J55</f>
        <v>1125638</v>
      </c>
      <c r="N7" s="29">
        <v>0</v>
      </c>
      <c r="O7" s="30">
        <v>71286</v>
      </c>
    </row>
    <row r="8" spans="1:16" x14ac:dyDescent="0.35">
      <c r="A8" s="46"/>
      <c r="C8" s="37" t="s">
        <v>14</v>
      </c>
      <c r="D8" s="38" t="s">
        <v>19</v>
      </c>
      <c r="E8" s="39" t="s">
        <v>86</v>
      </c>
      <c r="F8" s="27">
        <v>90594</v>
      </c>
      <c r="G8" s="27">
        <v>0</v>
      </c>
      <c r="H8" s="28">
        <f t="shared" si="0"/>
        <v>90594</v>
      </c>
      <c r="I8" s="28">
        <f t="shared" si="1"/>
        <v>83025</v>
      </c>
      <c r="J8" s="25">
        <v>7569</v>
      </c>
      <c r="K8" s="29">
        <v>0</v>
      </c>
      <c r="L8" s="25">
        <v>0</v>
      </c>
      <c r="M8" s="27">
        <f>'03-03-2026'!J56</f>
        <v>795218</v>
      </c>
      <c r="N8" s="29">
        <v>0</v>
      </c>
      <c r="O8" s="30">
        <v>42458</v>
      </c>
    </row>
    <row r="9" spans="1:16" x14ac:dyDescent="0.35">
      <c r="A9" s="46"/>
      <c r="C9" s="37" t="s">
        <v>14</v>
      </c>
      <c r="D9" s="38" t="s">
        <v>19</v>
      </c>
      <c r="E9" s="39" t="s">
        <v>95</v>
      </c>
      <c r="F9" s="27">
        <v>11208</v>
      </c>
      <c r="G9" s="27">
        <v>0</v>
      </c>
      <c r="H9" s="28">
        <f t="shared" si="0"/>
        <v>11208</v>
      </c>
      <c r="I9" s="28">
        <f t="shared" si="1"/>
        <v>11208</v>
      </c>
      <c r="J9" s="25">
        <v>0</v>
      </c>
      <c r="K9" s="29"/>
      <c r="L9" s="25"/>
      <c r="M9" s="27"/>
      <c r="N9" s="29"/>
      <c r="O9" s="30"/>
    </row>
    <row r="10" spans="1:16" x14ac:dyDescent="0.35">
      <c r="A10" s="46"/>
      <c r="C10" s="37" t="s">
        <v>14</v>
      </c>
      <c r="D10" s="38" t="s">
        <v>20</v>
      </c>
      <c r="E10" s="39" t="s">
        <v>92</v>
      </c>
      <c r="F10" s="27">
        <v>151571</v>
      </c>
      <c r="G10" s="27">
        <v>0</v>
      </c>
      <c r="H10" s="28">
        <f t="shared" si="0"/>
        <v>151571</v>
      </c>
      <c r="I10" s="28">
        <f t="shared" si="1"/>
        <v>120820</v>
      </c>
      <c r="J10" s="25">
        <v>30751</v>
      </c>
      <c r="K10" s="29">
        <v>0</v>
      </c>
      <c r="L10" s="25">
        <v>3000</v>
      </c>
      <c r="M10" s="27">
        <f>'03-03-2026'!J57</f>
        <v>1146326</v>
      </c>
      <c r="N10" s="29">
        <v>0</v>
      </c>
      <c r="O10" s="30">
        <v>21705</v>
      </c>
    </row>
    <row r="11" spans="1:16" x14ac:dyDescent="0.35">
      <c r="A11" s="46"/>
      <c r="C11" s="37" t="s">
        <v>14</v>
      </c>
      <c r="D11" s="38" t="s">
        <v>21</v>
      </c>
      <c r="E11" s="39" t="s">
        <v>95</v>
      </c>
      <c r="F11" s="27">
        <v>50371</v>
      </c>
      <c r="G11" s="27">
        <v>0</v>
      </c>
      <c r="H11" s="28">
        <f t="shared" si="0"/>
        <v>50371</v>
      </c>
      <c r="I11" s="28">
        <f t="shared" si="1"/>
        <v>37794</v>
      </c>
      <c r="J11" s="25">
        <v>12577</v>
      </c>
      <c r="K11" s="29">
        <v>0</v>
      </c>
      <c r="L11" s="25">
        <v>797</v>
      </c>
      <c r="M11" s="27">
        <f>'03-03-2026'!J58</f>
        <v>451925</v>
      </c>
      <c r="N11" s="29">
        <v>0</v>
      </c>
      <c r="O11" s="30">
        <v>33832</v>
      </c>
    </row>
    <row r="12" spans="1:16" x14ac:dyDescent="0.35">
      <c r="A12" s="48"/>
      <c r="C12" s="40" t="s">
        <v>22</v>
      </c>
      <c r="D12" s="40"/>
      <c r="E12" s="40"/>
      <c r="F12" s="31">
        <f t="shared" ref="F12:O12" si="2">SUM(F5:F11)</f>
        <v>884029</v>
      </c>
      <c r="G12" s="31">
        <f t="shared" si="2"/>
        <v>0</v>
      </c>
      <c r="H12" s="31">
        <f t="shared" si="2"/>
        <v>884029</v>
      </c>
      <c r="I12" s="31">
        <f t="shared" si="2"/>
        <v>812272</v>
      </c>
      <c r="J12" s="31">
        <f t="shared" si="2"/>
        <v>71757</v>
      </c>
      <c r="K12" s="31">
        <f t="shared" si="2"/>
        <v>0</v>
      </c>
      <c r="L12" s="31">
        <f t="shared" si="2"/>
        <v>3797</v>
      </c>
      <c r="M12" s="31">
        <f t="shared" si="2"/>
        <v>6972862</v>
      </c>
      <c r="N12" s="31">
        <f t="shared" si="2"/>
        <v>0</v>
      </c>
      <c r="O12" s="31">
        <f t="shared" si="2"/>
        <v>169281</v>
      </c>
    </row>
    <row r="13" spans="1:16" x14ac:dyDescent="0.35">
      <c r="C13" s="37" t="s">
        <v>23</v>
      </c>
      <c r="D13" s="38" t="s">
        <v>24</v>
      </c>
      <c r="E13" s="39" t="s">
        <v>92</v>
      </c>
      <c r="F13" s="27">
        <v>31966</v>
      </c>
      <c r="G13" s="27">
        <v>0</v>
      </c>
      <c r="H13" s="28">
        <f t="shared" ref="H13:H32" si="3">F13-G13</f>
        <v>31966</v>
      </c>
      <c r="I13" s="28">
        <f t="shared" ref="I13:I32" si="4">H13-J13</f>
        <v>17000</v>
      </c>
      <c r="J13" s="25">
        <v>14966</v>
      </c>
      <c r="K13" s="29">
        <v>0</v>
      </c>
      <c r="L13" s="25">
        <v>0</v>
      </c>
      <c r="M13" s="27">
        <f>'03-03-2026'!J62</f>
        <v>460967</v>
      </c>
      <c r="N13" s="29">
        <v>0</v>
      </c>
      <c r="O13" s="25">
        <v>22256</v>
      </c>
    </row>
    <row r="14" spans="1:16" x14ac:dyDescent="0.35">
      <c r="C14" s="37" t="s">
        <v>23</v>
      </c>
      <c r="D14" s="38" t="s">
        <v>24</v>
      </c>
      <c r="E14" s="39" t="s">
        <v>85</v>
      </c>
      <c r="F14" s="27">
        <v>67253</v>
      </c>
      <c r="G14" s="27">
        <v>1504</v>
      </c>
      <c r="H14" s="28">
        <f t="shared" si="3"/>
        <v>65749</v>
      </c>
      <c r="I14" s="28">
        <f t="shared" si="4"/>
        <v>21485</v>
      </c>
      <c r="J14" s="25">
        <v>44264</v>
      </c>
      <c r="K14" s="29"/>
      <c r="L14" s="25"/>
      <c r="M14" s="27"/>
      <c r="N14" s="29"/>
      <c r="O14" s="25"/>
    </row>
    <row r="15" spans="1:16" x14ac:dyDescent="0.35">
      <c r="C15" s="37" t="s">
        <v>23</v>
      </c>
      <c r="D15" s="38" t="s">
        <v>25</v>
      </c>
      <c r="E15" s="39" t="s">
        <v>85</v>
      </c>
      <c r="F15" s="27">
        <v>141207</v>
      </c>
      <c r="G15" s="27">
        <v>0</v>
      </c>
      <c r="H15" s="28">
        <f t="shared" si="3"/>
        <v>141207</v>
      </c>
      <c r="I15" s="28">
        <f t="shared" si="4"/>
        <v>132647</v>
      </c>
      <c r="J15" s="25">
        <v>8560</v>
      </c>
      <c r="K15" s="29">
        <v>0</v>
      </c>
      <c r="L15" s="25">
        <v>0</v>
      </c>
      <c r="M15" s="27">
        <f>'03-03-2026'!J63</f>
        <v>1203371</v>
      </c>
      <c r="N15" s="29">
        <v>0</v>
      </c>
      <c r="O15" s="25">
        <v>8422</v>
      </c>
    </row>
    <row r="16" spans="1:16" x14ac:dyDescent="0.35">
      <c r="C16" s="37"/>
      <c r="D16" s="38" t="s">
        <v>25</v>
      </c>
      <c r="E16" s="39" t="s">
        <v>85</v>
      </c>
      <c r="F16" s="27">
        <v>211870</v>
      </c>
      <c r="G16" s="27">
        <v>0</v>
      </c>
      <c r="H16" s="28">
        <f t="shared" si="3"/>
        <v>211870</v>
      </c>
      <c r="I16" s="28">
        <f t="shared" si="4"/>
        <v>211870</v>
      </c>
      <c r="J16" s="25">
        <v>0</v>
      </c>
      <c r="K16" s="29"/>
      <c r="L16" s="25"/>
      <c r="M16" s="27"/>
      <c r="N16" s="29"/>
      <c r="O16" s="25"/>
    </row>
    <row r="17" spans="3:15" x14ac:dyDescent="0.35">
      <c r="C17" s="37" t="s">
        <v>23</v>
      </c>
      <c r="D17" s="38" t="s">
        <v>26</v>
      </c>
      <c r="E17" s="39" t="s">
        <v>84</v>
      </c>
      <c r="F17" s="27">
        <v>0</v>
      </c>
      <c r="G17" s="27">
        <v>0</v>
      </c>
      <c r="H17" s="28">
        <f t="shared" si="3"/>
        <v>0</v>
      </c>
      <c r="I17" s="28">
        <f t="shared" si="4"/>
        <v>0</v>
      </c>
      <c r="J17" s="25">
        <v>0</v>
      </c>
      <c r="K17" s="29">
        <v>0</v>
      </c>
      <c r="L17" s="25">
        <v>0</v>
      </c>
      <c r="M17" s="27">
        <f>'03-03-2026'!J64</f>
        <v>617689</v>
      </c>
      <c r="N17" s="29">
        <v>0</v>
      </c>
      <c r="O17" s="25">
        <v>0</v>
      </c>
    </row>
    <row r="18" spans="3:15" x14ac:dyDescent="0.35">
      <c r="C18" s="37" t="s">
        <v>23</v>
      </c>
      <c r="D18" s="38" t="s">
        <v>20</v>
      </c>
      <c r="E18" s="39" t="s">
        <v>95</v>
      </c>
      <c r="F18" s="27">
        <v>0</v>
      </c>
      <c r="G18" s="27">
        <v>0</v>
      </c>
      <c r="H18" s="28">
        <f t="shared" si="3"/>
        <v>0</v>
      </c>
      <c r="I18" s="28">
        <f t="shared" si="4"/>
        <v>0</v>
      </c>
      <c r="J18" s="25">
        <v>0</v>
      </c>
      <c r="K18" s="29">
        <v>0</v>
      </c>
      <c r="L18" s="25">
        <v>0</v>
      </c>
      <c r="M18" s="27">
        <v>0</v>
      </c>
      <c r="N18" s="29">
        <v>0</v>
      </c>
      <c r="O18" s="25">
        <v>0</v>
      </c>
    </row>
    <row r="19" spans="3:15" x14ac:dyDescent="0.35">
      <c r="C19" s="37" t="s">
        <v>23</v>
      </c>
      <c r="D19" s="38" t="s">
        <v>18</v>
      </c>
      <c r="E19" s="39" t="s">
        <v>92</v>
      </c>
      <c r="F19" s="27">
        <v>0</v>
      </c>
      <c r="G19" s="27">
        <v>0</v>
      </c>
      <c r="H19" s="28">
        <f t="shared" si="3"/>
        <v>0</v>
      </c>
      <c r="I19" s="28">
        <f t="shared" si="4"/>
        <v>0</v>
      </c>
      <c r="J19" s="25">
        <v>0</v>
      </c>
      <c r="K19" s="29">
        <v>0</v>
      </c>
      <c r="L19" s="25">
        <v>0</v>
      </c>
      <c r="M19" s="27">
        <v>0</v>
      </c>
      <c r="N19" s="29">
        <v>0</v>
      </c>
      <c r="O19" s="25">
        <v>0</v>
      </c>
    </row>
    <row r="20" spans="3:15" x14ac:dyDescent="0.35">
      <c r="C20" s="37" t="s">
        <v>23</v>
      </c>
      <c r="D20" s="40"/>
      <c r="E20" s="40"/>
      <c r="F20" s="31">
        <f>SUM(F13:F19)</f>
        <v>452296</v>
      </c>
      <c r="G20" s="31">
        <f>SUM(G13:G19)</f>
        <v>1504</v>
      </c>
      <c r="H20" s="31">
        <f>SUM(H13:H18)</f>
        <v>450792</v>
      </c>
      <c r="I20" s="31">
        <f>SUM(I13:I18)</f>
        <v>383002</v>
      </c>
      <c r="J20" s="31">
        <f>SUM(J13:J19)</f>
        <v>67790</v>
      </c>
      <c r="K20" s="31">
        <f>SUM(K13:K18)</f>
        <v>0</v>
      </c>
      <c r="L20" s="31">
        <f>SUM(L13:L18)</f>
        <v>0</v>
      </c>
      <c r="M20" s="31">
        <f>SUM(M13:M19)</f>
        <v>2282027</v>
      </c>
      <c r="N20" s="31">
        <f>SUM(N13:N18)</f>
        <v>0</v>
      </c>
      <c r="O20" s="31">
        <f>SUM(O13:O19)</f>
        <v>30678</v>
      </c>
    </row>
    <row r="21" spans="3:15" x14ac:dyDescent="0.35">
      <c r="C21" s="37" t="s">
        <v>27</v>
      </c>
      <c r="D21" s="38" t="s">
        <v>25</v>
      </c>
      <c r="E21" s="39" t="s">
        <v>16</v>
      </c>
      <c r="F21" s="27">
        <v>0</v>
      </c>
      <c r="G21" s="27">
        <v>0</v>
      </c>
      <c r="H21" s="28">
        <f t="shared" si="3"/>
        <v>0</v>
      </c>
      <c r="I21" s="28">
        <f t="shared" si="4"/>
        <v>0</v>
      </c>
      <c r="J21" s="25">
        <v>0</v>
      </c>
      <c r="K21" s="29">
        <v>0</v>
      </c>
      <c r="L21" s="25">
        <v>0</v>
      </c>
      <c r="M21" s="27">
        <f>'03-03-2026'!J66</f>
        <v>51257</v>
      </c>
      <c r="N21" s="29">
        <v>0</v>
      </c>
      <c r="O21" s="25">
        <v>0</v>
      </c>
    </row>
    <row r="22" spans="3:15" x14ac:dyDescent="0.35">
      <c r="C22" s="40"/>
      <c r="D22" s="40"/>
      <c r="E22" s="40"/>
      <c r="F22" s="31">
        <f>SUM(F21)</f>
        <v>0</v>
      </c>
      <c r="G22" s="31">
        <f t="shared" ref="G22:O22" si="5">SUM(G21)</f>
        <v>0</v>
      </c>
      <c r="H22" s="31">
        <f t="shared" si="5"/>
        <v>0</v>
      </c>
      <c r="I22" s="31">
        <f t="shared" si="5"/>
        <v>0</v>
      </c>
      <c r="J22" s="31">
        <f t="shared" si="5"/>
        <v>0</v>
      </c>
      <c r="K22" s="31">
        <f t="shared" si="5"/>
        <v>0</v>
      </c>
      <c r="L22" s="31">
        <f t="shared" si="5"/>
        <v>0</v>
      </c>
      <c r="M22" s="31">
        <f t="shared" si="5"/>
        <v>51257</v>
      </c>
      <c r="N22" s="31">
        <f t="shared" si="5"/>
        <v>0</v>
      </c>
      <c r="O22" s="31">
        <f t="shared" si="5"/>
        <v>0</v>
      </c>
    </row>
    <row r="23" spans="3:15" x14ac:dyDescent="0.35">
      <c r="C23" s="37" t="s">
        <v>28</v>
      </c>
      <c r="D23" s="38" t="s">
        <v>29</v>
      </c>
      <c r="E23" s="39" t="s">
        <v>16</v>
      </c>
      <c r="F23" s="27">
        <v>0</v>
      </c>
      <c r="G23" s="27">
        <v>0</v>
      </c>
      <c r="H23" s="28">
        <f t="shared" si="3"/>
        <v>0</v>
      </c>
      <c r="I23" s="28">
        <f t="shared" si="4"/>
        <v>0</v>
      </c>
      <c r="J23" s="25">
        <v>0</v>
      </c>
      <c r="K23" s="29">
        <v>0</v>
      </c>
      <c r="L23" s="25">
        <v>0</v>
      </c>
      <c r="M23" s="27">
        <f>'03-03-2026'!J77</f>
        <v>33969</v>
      </c>
      <c r="N23" s="29">
        <v>0</v>
      </c>
      <c r="O23" s="25">
        <v>0</v>
      </c>
    </row>
    <row r="24" spans="3:15" x14ac:dyDescent="0.35">
      <c r="C24" s="37" t="s">
        <v>28</v>
      </c>
      <c r="D24" s="38" t="s">
        <v>25</v>
      </c>
      <c r="E24" s="39" t="s">
        <v>16</v>
      </c>
      <c r="F24" s="27">
        <v>0</v>
      </c>
      <c r="G24" s="27">
        <v>0</v>
      </c>
      <c r="H24" s="28">
        <f t="shared" si="3"/>
        <v>0</v>
      </c>
      <c r="I24" s="28">
        <f t="shared" si="4"/>
        <v>0</v>
      </c>
      <c r="J24" s="25">
        <v>0</v>
      </c>
      <c r="K24" s="29">
        <v>0</v>
      </c>
      <c r="L24" s="25">
        <v>0</v>
      </c>
      <c r="M24" s="27">
        <f>'03-03-2026'!J78</f>
        <v>160846</v>
      </c>
      <c r="N24" s="29">
        <v>0</v>
      </c>
      <c r="O24" s="25">
        <v>0</v>
      </c>
    </row>
    <row r="25" spans="3:15" x14ac:dyDescent="0.35">
      <c r="C25" s="40" t="s">
        <v>22</v>
      </c>
      <c r="D25" s="40"/>
      <c r="E25" s="40"/>
      <c r="F25" s="31">
        <f t="shared" ref="F25:L25" si="6">SUM(F23:F24)</f>
        <v>0</v>
      </c>
      <c r="G25" s="31">
        <f t="shared" si="6"/>
        <v>0</v>
      </c>
      <c r="H25" s="31">
        <f t="shared" si="6"/>
        <v>0</v>
      </c>
      <c r="I25" s="31">
        <f t="shared" si="6"/>
        <v>0</v>
      </c>
      <c r="J25" s="31">
        <f t="shared" si="6"/>
        <v>0</v>
      </c>
      <c r="K25" s="31">
        <f>SUM(K23:K24)</f>
        <v>0</v>
      </c>
      <c r="L25" s="31">
        <f t="shared" si="6"/>
        <v>0</v>
      </c>
      <c r="M25" s="31">
        <f>SUM(M23:M24)</f>
        <v>194815</v>
      </c>
      <c r="N25" s="31">
        <f t="shared" ref="N25:O25" si="7">SUM(N23:N24)</f>
        <v>0</v>
      </c>
      <c r="O25" s="31">
        <f t="shared" si="7"/>
        <v>0</v>
      </c>
    </row>
    <row r="26" spans="3:15" x14ac:dyDescent="0.35">
      <c r="C26" s="37" t="s">
        <v>30</v>
      </c>
      <c r="D26" s="38" t="s">
        <v>29</v>
      </c>
      <c r="E26" s="39" t="s">
        <v>16</v>
      </c>
      <c r="F26" s="32">
        <v>0</v>
      </c>
      <c r="G26" s="32">
        <v>0</v>
      </c>
      <c r="H26" s="28">
        <f t="shared" si="3"/>
        <v>0</v>
      </c>
      <c r="I26" s="28">
        <f t="shared" si="4"/>
        <v>0</v>
      </c>
      <c r="J26" s="33">
        <v>0</v>
      </c>
      <c r="K26" s="34">
        <v>0</v>
      </c>
      <c r="L26" s="33">
        <v>0</v>
      </c>
      <c r="M26" s="32">
        <f>'03-03-2026'!J81</f>
        <v>89658</v>
      </c>
      <c r="N26" s="34">
        <v>0</v>
      </c>
      <c r="O26" s="33">
        <v>0</v>
      </c>
    </row>
    <row r="27" spans="3:15" x14ac:dyDescent="0.35">
      <c r="C27" s="37" t="s">
        <v>30</v>
      </c>
      <c r="D27" s="38" t="s">
        <v>31</v>
      </c>
      <c r="E27" s="39" t="s">
        <v>16</v>
      </c>
      <c r="F27" s="32">
        <v>0</v>
      </c>
      <c r="G27" s="32">
        <v>0</v>
      </c>
      <c r="H27" s="28">
        <f t="shared" si="3"/>
        <v>0</v>
      </c>
      <c r="I27" s="28">
        <f t="shared" si="4"/>
        <v>0</v>
      </c>
      <c r="J27" s="33">
        <v>0</v>
      </c>
      <c r="K27" s="34">
        <v>0</v>
      </c>
      <c r="L27" s="33">
        <v>0</v>
      </c>
      <c r="M27" s="32">
        <f>'03-03-2026'!J82</f>
        <v>42000</v>
      </c>
      <c r="N27" s="34">
        <v>0</v>
      </c>
      <c r="O27" s="33">
        <v>0</v>
      </c>
    </row>
    <row r="28" spans="3:15" x14ac:dyDescent="0.35">
      <c r="C28" s="40" t="s">
        <v>22</v>
      </c>
      <c r="D28" s="40"/>
      <c r="E28" s="40"/>
      <c r="F28" s="31">
        <f>SUM(F26:F27)</f>
        <v>0</v>
      </c>
      <c r="G28" s="31">
        <f t="shared" ref="G28:O28" si="8">SUM(G26:G27)</f>
        <v>0</v>
      </c>
      <c r="H28" s="31">
        <f t="shared" si="8"/>
        <v>0</v>
      </c>
      <c r="I28" s="31">
        <f t="shared" si="8"/>
        <v>0</v>
      </c>
      <c r="J28" s="31">
        <f t="shared" si="8"/>
        <v>0</v>
      </c>
      <c r="K28" s="31">
        <f t="shared" si="8"/>
        <v>0</v>
      </c>
      <c r="L28" s="31">
        <f t="shared" si="8"/>
        <v>0</v>
      </c>
      <c r="M28" s="31">
        <f t="shared" si="8"/>
        <v>131658</v>
      </c>
      <c r="N28" s="31">
        <f t="shared" si="8"/>
        <v>0</v>
      </c>
      <c r="O28" s="31">
        <f t="shared" si="8"/>
        <v>0</v>
      </c>
    </row>
    <row r="29" spans="3:15" x14ac:dyDescent="0.35">
      <c r="C29" s="37" t="s">
        <v>32</v>
      </c>
      <c r="D29" s="38" t="s">
        <v>33</v>
      </c>
      <c r="E29" s="39" t="s">
        <v>93</v>
      </c>
      <c r="F29" s="35">
        <v>21438</v>
      </c>
      <c r="G29" s="27">
        <v>0</v>
      </c>
      <c r="H29" s="28">
        <f t="shared" si="3"/>
        <v>21438</v>
      </c>
      <c r="I29" s="28">
        <f t="shared" si="4"/>
        <v>21438</v>
      </c>
      <c r="J29" s="25">
        <v>0</v>
      </c>
      <c r="K29" s="29">
        <v>0</v>
      </c>
      <c r="L29" s="25">
        <v>0</v>
      </c>
      <c r="M29" s="27">
        <f>'03-03-2026'!J69</f>
        <v>1479248</v>
      </c>
      <c r="N29" s="29">
        <v>0</v>
      </c>
      <c r="O29" s="25">
        <v>34576</v>
      </c>
    </row>
    <row r="30" spans="3:15" x14ac:dyDescent="0.35">
      <c r="C30" s="37" t="s">
        <v>32</v>
      </c>
      <c r="D30" s="38" t="s">
        <v>31</v>
      </c>
      <c r="E30" s="39" t="s">
        <v>16</v>
      </c>
      <c r="F30" s="35">
        <v>0</v>
      </c>
      <c r="G30" s="27">
        <v>0</v>
      </c>
      <c r="H30" s="28">
        <f t="shared" si="3"/>
        <v>0</v>
      </c>
      <c r="I30" s="28">
        <f t="shared" si="4"/>
        <v>0</v>
      </c>
      <c r="J30" s="25">
        <v>0</v>
      </c>
      <c r="K30" s="29">
        <v>0</v>
      </c>
      <c r="L30" s="25">
        <v>0</v>
      </c>
      <c r="M30" s="27">
        <f>'03-03-2026'!J70</f>
        <v>174473</v>
      </c>
      <c r="N30" s="29">
        <v>0</v>
      </c>
      <c r="O30" s="25">
        <v>0</v>
      </c>
    </row>
    <row r="31" spans="3:15" x14ac:dyDescent="0.35">
      <c r="C31" s="37" t="s">
        <v>32</v>
      </c>
      <c r="D31" s="38" t="s">
        <v>26</v>
      </c>
      <c r="E31" s="39" t="s">
        <v>16</v>
      </c>
      <c r="F31" s="35">
        <v>0</v>
      </c>
      <c r="G31" s="27">
        <v>0</v>
      </c>
      <c r="H31" s="28">
        <f t="shared" si="3"/>
        <v>0</v>
      </c>
      <c r="I31" s="28">
        <f t="shared" si="4"/>
        <v>0</v>
      </c>
      <c r="J31" s="25">
        <v>0</v>
      </c>
      <c r="K31" s="29">
        <v>0</v>
      </c>
      <c r="L31" s="25">
        <v>0</v>
      </c>
      <c r="M31" s="27">
        <f>'03-03-2026'!J71</f>
        <v>35126</v>
      </c>
      <c r="N31" s="29">
        <v>0</v>
      </c>
      <c r="O31" s="25">
        <v>0</v>
      </c>
    </row>
    <row r="32" spans="3:15" x14ac:dyDescent="0.35">
      <c r="C32" s="37" t="s">
        <v>32</v>
      </c>
      <c r="D32" s="38" t="s">
        <v>34</v>
      </c>
      <c r="E32" s="39" t="s">
        <v>84</v>
      </c>
      <c r="F32" s="35">
        <v>54300</v>
      </c>
      <c r="G32" s="27">
        <v>0</v>
      </c>
      <c r="H32" s="28">
        <f t="shared" si="3"/>
        <v>54300</v>
      </c>
      <c r="I32" s="28">
        <f t="shared" si="4"/>
        <v>50934</v>
      </c>
      <c r="J32" s="25">
        <v>3366</v>
      </c>
      <c r="K32" s="29">
        <v>0</v>
      </c>
      <c r="L32" s="25">
        <v>0</v>
      </c>
      <c r="M32" s="27">
        <f>'03-03-2026'!J72</f>
        <v>1370709</v>
      </c>
      <c r="N32" s="29">
        <v>0</v>
      </c>
      <c r="O32" s="25">
        <v>35646</v>
      </c>
    </row>
    <row r="33" spans="3:15" x14ac:dyDescent="0.35">
      <c r="C33" s="40" t="s">
        <v>22</v>
      </c>
      <c r="D33" s="40"/>
      <c r="E33" s="40"/>
      <c r="F33" s="31">
        <f t="shared" ref="F33:O33" si="9">SUM(F29:F32)</f>
        <v>75738</v>
      </c>
      <c r="G33" s="31">
        <f t="shared" si="9"/>
        <v>0</v>
      </c>
      <c r="H33" s="31">
        <f t="shared" si="9"/>
        <v>75738</v>
      </c>
      <c r="I33" s="31">
        <f t="shared" si="9"/>
        <v>72372</v>
      </c>
      <c r="J33" s="31">
        <f t="shared" si="9"/>
        <v>3366</v>
      </c>
      <c r="K33" s="31">
        <f t="shared" si="9"/>
        <v>0</v>
      </c>
      <c r="L33" s="31">
        <f t="shared" si="9"/>
        <v>0</v>
      </c>
      <c r="M33" s="31">
        <f t="shared" si="9"/>
        <v>3059556</v>
      </c>
      <c r="N33" s="31">
        <f t="shared" si="9"/>
        <v>0</v>
      </c>
      <c r="O33" s="31">
        <f t="shared" si="9"/>
        <v>70222</v>
      </c>
    </row>
    <row r="34" spans="3:15" x14ac:dyDescent="0.35">
      <c r="C34" s="41" t="s">
        <v>35</v>
      </c>
      <c r="D34" s="41"/>
      <c r="E34" s="41"/>
      <c r="F34" s="36">
        <f t="shared" ref="F34:O34" si="10">F33+F28+F25+F22+F20+F12</f>
        <v>1412063</v>
      </c>
      <c r="G34" s="36">
        <f t="shared" si="10"/>
        <v>1504</v>
      </c>
      <c r="H34" s="36">
        <f t="shared" si="10"/>
        <v>1410559</v>
      </c>
      <c r="I34" s="36">
        <f t="shared" si="10"/>
        <v>1267646</v>
      </c>
      <c r="J34" s="36">
        <f t="shared" si="10"/>
        <v>142913</v>
      </c>
      <c r="K34" s="36">
        <f t="shared" si="10"/>
        <v>0</v>
      </c>
      <c r="L34" s="36">
        <f t="shared" si="10"/>
        <v>3797</v>
      </c>
      <c r="M34" s="36">
        <f t="shared" si="10"/>
        <v>12692175</v>
      </c>
      <c r="N34" s="36">
        <f t="shared" si="10"/>
        <v>0</v>
      </c>
      <c r="O34" s="36">
        <f t="shared" si="10"/>
        <v>270181</v>
      </c>
    </row>
    <row r="35" spans="3:15" x14ac:dyDescent="0.35">
      <c r="F35" s="49" t="s">
        <v>36</v>
      </c>
      <c r="G35" s="25">
        <f>O12+L12+J12-K12</f>
        <v>244835</v>
      </c>
      <c r="H35" s="200"/>
      <c r="I35" s="201"/>
      <c r="J35" s="50"/>
      <c r="K35" s="51"/>
      <c r="L35" s="51"/>
    </row>
    <row r="36" spans="3:15" x14ac:dyDescent="0.35">
      <c r="F36" s="52" t="s">
        <v>37</v>
      </c>
      <c r="G36" s="25">
        <f>O20+L20+J20-K20+O22+L22+J22-K22</f>
        <v>98468</v>
      </c>
      <c r="H36" s="53"/>
      <c r="I36" s="54" t="s">
        <v>89</v>
      </c>
      <c r="J36" s="54" t="s">
        <v>90</v>
      </c>
      <c r="K36" s="192" t="s">
        <v>88</v>
      </c>
      <c r="L36" s="193"/>
      <c r="M36" s="202" t="s">
        <v>87</v>
      </c>
      <c r="N36" s="203"/>
      <c r="O36" s="204"/>
    </row>
    <row r="37" spans="3:15" x14ac:dyDescent="0.35">
      <c r="C37" s="205" t="s">
        <v>68</v>
      </c>
      <c r="D37" s="206"/>
      <c r="F37" s="55" t="s">
        <v>38</v>
      </c>
      <c r="G37" s="25">
        <f>O25+L25+J25-K25</f>
        <v>0</v>
      </c>
      <c r="H37" s="53"/>
      <c r="I37" s="54"/>
      <c r="J37" s="57"/>
      <c r="K37" s="192"/>
      <c r="L37" s="193"/>
      <c r="M37" s="59"/>
      <c r="N37" s="58"/>
      <c r="O37" s="60"/>
    </row>
    <row r="38" spans="3:15" x14ac:dyDescent="0.35">
      <c r="C38" s="61"/>
      <c r="D38" s="61"/>
      <c r="F38" s="62" t="s">
        <v>30</v>
      </c>
      <c r="G38" s="25">
        <f>O28+L28+J28-K28</f>
        <v>0</v>
      </c>
      <c r="H38" s="53"/>
      <c r="I38" s="56"/>
      <c r="J38" s="57"/>
      <c r="K38" s="192"/>
      <c r="L38" s="193"/>
      <c r="M38" s="59"/>
      <c r="N38" s="58"/>
      <c r="O38" s="60"/>
    </row>
    <row r="39" spans="3:15" x14ac:dyDescent="0.35">
      <c r="C39" s="61"/>
      <c r="D39" s="61"/>
      <c r="F39" s="49" t="s">
        <v>39</v>
      </c>
      <c r="G39" s="25">
        <f>O33+L33+J33-K33</f>
        <v>73588</v>
      </c>
      <c r="H39" s="53"/>
      <c r="I39" s="56"/>
      <c r="J39" s="57"/>
      <c r="K39" s="192"/>
      <c r="L39" s="193"/>
      <c r="M39" s="59"/>
      <c r="N39" s="58"/>
      <c r="O39" s="60"/>
    </row>
    <row r="40" spans="3:15" x14ac:dyDescent="0.35">
      <c r="C40" s="61"/>
      <c r="D40" s="61"/>
      <c r="F40" s="63" t="s">
        <v>40</v>
      </c>
      <c r="G40" s="26">
        <f>SUM(G35:G39)</f>
        <v>416891</v>
      </c>
      <c r="I40" s="61"/>
      <c r="J40" s="57"/>
      <c r="K40" s="192"/>
      <c r="L40" s="193"/>
      <c r="M40" s="59"/>
      <c r="N40" s="58"/>
      <c r="O40" s="60"/>
    </row>
    <row r="41" spans="3:15" x14ac:dyDescent="0.35">
      <c r="C41" s="61"/>
      <c r="D41" s="61"/>
      <c r="F41" s="64"/>
      <c r="G41" s="65"/>
      <c r="I41" s="61"/>
      <c r="J41" s="57"/>
      <c r="K41" s="192"/>
      <c r="L41" s="193"/>
      <c r="M41" s="59"/>
      <c r="N41" s="58"/>
      <c r="O41" s="60"/>
    </row>
    <row r="42" spans="3:15" x14ac:dyDescent="0.35">
      <c r="C42" s="61"/>
      <c r="D42" s="61"/>
      <c r="F42" s="64"/>
      <c r="G42" s="65"/>
      <c r="I42" s="61"/>
      <c r="J42" s="57"/>
      <c r="K42" s="58"/>
      <c r="L42" s="58"/>
      <c r="M42" s="59"/>
      <c r="N42" s="58"/>
      <c r="O42" s="60"/>
    </row>
    <row r="43" spans="3:15" x14ac:dyDescent="0.35">
      <c r="C43" s="61"/>
      <c r="D43" s="61"/>
      <c r="F43" s="64"/>
      <c r="G43" s="65"/>
      <c r="I43" s="61"/>
      <c r="J43" s="57"/>
      <c r="K43" s="58"/>
      <c r="L43" s="58"/>
      <c r="M43" s="59"/>
      <c r="N43" s="58"/>
      <c r="O43" s="60"/>
    </row>
    <row r="44" spans="3:15" x14ac:dyDescent="0.35">
      <c r="C44" s="61"/>
      <c r="D44" s="61"/>
      <c r="F44" s="64"/>
      <c r="G44" s="65"/>
      <c r="I44" s="61"/>
      <c r="J44" s="57"/>
      <c r="K44" s="58"/>
      <c r="L44" s="58"/>
      <c r="M44" s="59"/>
      <c r="N44" s="58"/>
      <c r="O44" s="60"/>
    </row>
    <row r="45" spans="3:15" x14ac:dyDescent="0.35">
      <c r="C45" s="61"/>
      <c r="D45" s="61"/>
      <c r="F45" s="64"/>
      <c r="G45" s="65"/>
      <c r="I45" s="61"/>
      <c r="J45" s="57"/>
      <c r="K45" s="191"/>
      <c r="L45" s="193"/>
      <c r="M45" s="191"/>
      <c r="N45" s="192"/>
      <c r="O45" s="193"/>
    </row>
    <row r="46" spans="3:15" x14ac:dyDescent="0.35">
      <c r="C46" s="61"/>
      <c r="D46" s="61"/>
      <c r="F46" s="64"/>
      <c r="G46" s="65"/>
      <c r="I46" s="61"/>
      <c r="J46" s="54"/>
      <c r="K46" s="191"/>
      <c r="L46" s="193"/>
      <c r="M46" s="191"/>
      <c r="N46" s="192"/>
      <c r="O46" s="193"/>
    </row>
    <row r="47" spans="3:15" x14ac:dyDescent="0.35">
      <c r="C47" s="61"/>
      <c r="D47" s="61"/>
      <c r="F47" s="64"/>
      <c r="G47" s="65"/>
      <c r="I47" s="61"/>
      <c r="J47" s="54"/>
      <c r="K47" s="191"/>
      <c r="L47" s="193"/>
      <c r="M47" s="191"/>
      <c r="N47" s="192"/>
      <c r="O47" s="193"/>
    </row>
    <row r="48" spans="3:15" x14ac:dyDescent="0.35">
      <c r="C48" s="61"/>
      <c r="D48" s="61"/>
      <c r="F48" s="64"/>
      <c r="G48" s="65"/>
      <c r="I48" s="61"/>
      <c r="J48" s="54"/>
      <c r="K48" s="191"/>
      <c r="L48" s="193"/>
      <c r="M48" s="191"/>
      <c r="N48" s="192"/>
      <c r="O48" s="193"/>
    </row>
    <row r="49" spans="3:15" x14ac:dyDescent="0.35">
      <c r="C49" s="61"/>
      <c r="D49" s="61"/>
      <c r="F49" s="64"/>
      <c r="G49" s="65"/>
      <c r="I49" s="61"/>
      <c r="J49" s="54"/>
      <c r="K49" s="191"/>
      <c r="L49" s="193"/>
      <c r="M49" s="191"/>
      <c r="N49" s="192"/>
      <c r="O49" s="193"/>
    </row>
    <row r="50" spans="3:15" x14ac:dyDescent="0.35">
      <c r="H50" s="209" t="s">
        <v>41</v>
      </c>
      <c r="I50" s="209"/>
      <c r="J50" s="209"/>
      <c r="K50" s="210"/>
      <c r="L50" s="46"/>
      <c r="M50" s="66"/>
    </row>
    <row r="51" spans="3:15" x14ac:dyDescent="0.35">
      <c r="H51" s="67" t="s">
        <v>42</v>
      </c>
      <c r="I51" s="67" t="s">
        <v>43</v>
      </c>
      <c r="J51" s="67" t="s">
        <v>44</v>
      </c>
      <c r="K51" s="210"/>
      <c r="L51" s="66"/>
    </row>
    <row r="52" spans="3:15" x14ac:dyDescent="0.35">
      <c r="F52" s="68"/>
      <c r="H52" s="42" t="s">
        <v>14</v>
      </c>
      <c r="I52" s="42" t="s">
        <v>15</v>
      </c>
      <c r="J52" s="68">
        <f>M5-O5-N5-L5+I5</f>
        <v>347450</v>
      </c>
      <c r="K52" s="69">
        <v>359515</v>
      </c>
      <c r="L52" s="70">
        <f>J52-K52</f>
        <v>-12065</v>
      </c>
      <c r="M52" s="68"/>
    </row>
    <row r="53" spans="3:15" x14ac:dyDescent="0.35">
      <c r="C53" s="211">
        <v>45931</v>
      </c>
      <c r="D53" s="211"/>
      <c r="E53" s="211"/>
      <c r="H53" s="42" t="s">
        <v>14</v>
      </c>
      <c r="I53" s="42" t="s">
        <v>17</v>
      </c>
      <c r="J53" s="68">
        <f>M6-O6-N6-L6+I6+G53</f>
        <v>3561859</v>
      </c>
      <c r="K53" s="69">
        <v>3301305</v>
      </c>
      <c r="L53" s="70">
        <f t="shared" ref="L53:L64" si="11">J53-K53</f>
        <v>260554</v>
      </c>
      <c r="M53" s="68"/>
    </row>
    <row r="54" spans="3:15" x14ac:dyDescent="0.35">
      <c r="C54" s="212" t="s">
        <v>63</v>
      </c>
      <c r="D54" s="212"/>
      <c r="E54" s="212"/>
      <c r="H54" s="42" t="s">
        <v>14</v>
      </c>
      <c r="I54" s="42" t="s">
        <v>18</v>
      </c>
      <c r="J54" s="68">
        <f>M7-O7-N7-L7+I7+G54</f>
        <v>1158223</v>
      </c>
      <c r="K54" s="69">
        <v>1158224</v>
      </c>
      <c r="L54" s="70">
        <f t="shared" si="11"/>
        <v>-1</v>
      </c>
      <c r="M54" s="68"/>
    </row>
    <row r="55" spans="3:15" x14ac:dyDescent="0.35">
      <c r="C55" s="61" t="s">
        <v>64</v>
      </c>
      <c r="D55" s="213">
        <f>'Opening Balance FEB 2026'!J4</f>
        <v>1308640</v>
      </c>
      <c r="E55" s="214"/>
      <c r="H55" s="42" t="s">
        <v>14</v>
      </c>
      <c r="I55" s="42" t="s">
        <v>19</v>
      </c>
      <c r="J55" s="68">
        <f>M8-O8-N8-L8+I8+G55+I9</f>
        <v>846993</v>
      </c>
      <c r="K55" s="69">
        <v>847025</v>
      </c>
      <c r="L55" s="70">
        <f t="shared" si="11"/>
        <v>-32</v>
      </c>
      <c r="M55" s="68"/>
    </row>
    <row r="56" spans="3:15" x14ac:dyDescent="0.35">
      <c r="C56" s="61" t="s">
        <v>65</v>
      </c>
      <c r="D56" s="213">
        <f>G40</f>
        <v>416891</v>
      </c>
      <c r="E56" s="214"/>
      <c r="H56" s="42" t="s">
        <v>14</v>
      </c>
      <c r="I56" s="42" t="s">
        <v>20</v>
      </c>
      <c r="J56" s="68">
        <f>M10-O10-N10-L10+I10+G56</f>
        <v>1242441</v>
      </c>
      <c r="K56" s="69">
        <v>1242441</v>
      </c>
      <c r="L56" s="70">
        <f t="shared" si="11"/>
        <v>0</v>
      </c>
      <c r="M56" s="68"/>
    </row>
    <row r="57" spans="3:15" x14ac:dyDescent="0.35">
      <c r="C57" s="71" t="s">
        <v>45</v>
      </c>
      <c r="D57" s="215">
        <f>D55+D56</f>
        <v>1725531</v>
      </c>
      <c r="E57" s="216"/>
      <c r="H57" s="42" t="s">
        <v>14</v>
      </c>
      <c r="I57" s="42" t="s">
        <v>21</v>
      </c>
      <c r="J57" s="68">
        <f>M11-O11-N11-L11+I11+G57</f>
        <v>455090</v>
      </c>
      <c r="K57" s="69">
        <v>455091</v>
      </c>
      <c r="L57" s="70">
        <f t="shared" si="11"/>
        <v>-1</v>
      </c>
    </row>
    <row r="58" spans="3:15" x14ac:dyDescent="0.35">
      <c r="C58" s="61" t="s">
        <v>66</v>
      </c>
      <c r="D58" s="207">
        <v>0</v>
      </c>
      <c r="E58" s="208"/>
      <c r="H58" s="72" t="s">
        <v>45</v>
      </c>
      <c r="I58" s="72"/>
      <c r="J58" s="73">
        <f>SUM(J52:J57)</f>
        <v>7612056</v>
      </c>
      <c r="K58" s="74">
        <v>7612056</v>
      </c>
      <c r="L58" s="70">
        <f t="shared" si="11"/>
        <v>0</v>
      </c>
    </row>
    <row r="59" spans="3:15" x14ac:dyDescent="0.35">
      <c r="C59" s="61" t="s">
        <v>78</v>
      </c>
      <c r="D59" s="207">
        <v>0</v>
      </c>
      <c r="E59" s="208"/>
      <c r="H59" s="72"/>
      <c r="I59" s="72"/>
      <c r="J59" s="73"/>
      <c r="K59" s="75"/>
      <c r="L59" s="70"/>
    </row>
    <row r="60" spans="3:15" x14ac:dyDescent="0.35">
      <c r="C60" s="61" t="s">
        <v>75</v>
      </c>
      <c r="D60" s="207">
        <v>10000</v>
      </c>
      <c r="E60" s="208"/>
      <c r="H60" s="67" t="s">
        <v>42</v>
      </c>
      <c r="I60" s="67" t="s">
        <v>43</v>
      </c>
      <c r="J60" s="67" t="s">
        <v>44</v>
      </c>
      <c r="K60" s="66"/>
      <c r="L60" s="70"/>
    </row>
    <row r="61" spans="3:15" x14ac:dyDescent="0.35">
      <c r="C61" s="76" t="s">
        <v>83</v>
      </c>
      <c r="D61" s="217">
        <f>SUM(D58:E60)</f>
        <v>10000</v>
      </c>
      <c r="E61" s="218"/>
      <c r="H61" s="42" t="s">
        <v>46</v>
      </c>
      <c r="I61" s="42" t="s">
        <v>48</v>
      </c>
      <c r="J61" s="68">
        <f>M13-O13-N13-L13+I13+I14</f>
        <v>477196</v>
      </c>
      <c r="K61" s="69">
        <v>282651</v>
      </c>
      <c r="L61" s="70">
        <f t="shared" si="11"/>
        <v>194545</v>
      </c>
    </row>
    <row r="62" spans="3:15" x14ac:dyDescent="0.35">
      <c r="C62" s="77" t="s">
        <v>67</v>
      </c>
      <c r="D62" s="219">
        <f>D57-D58-D60-D59</f>
        <v>1715531</v>
      </c>
      <c r="E62" s="220"/>
      <c r="H62" s="42" t="s">
        <v>46</v>
      </c>
      <c r="I62" s="42" t="s">
        <v>47</v>
      </c>
      <c r="J62" s="68">
        <f>M15-O15-N15-L15+I15+I16</f>
        <v>1539466</v>
      </c>
      <c r="K62" s="69">
        <v>1508814</v>
      </c>
      <c r="L62" s="70">
        <f t="shared" si="11"/>
        <v>30652</v>
      </c>
      <c r="N62" s="68"/>
    </row>
    <row r="63" spans="3:15" x14ac:dyDescent="0.35">
      <c r="C63" s="78" t="s">
        <v>68</v>
      </c>
      <c r="D63" s="221"/>
      <c r="E63" s="222"/>
      <c r="H63" s="42" t="s">
        <v>46</v>
      </c>
      <c r="I63" s="42" t="s">
        <v>15</v>
      </c>
      <c r="J63" s="68">
        <f>M17-O17-N17-L17+I17</f>
        <v>617689</v>
      </c>
      <c r="K63" s="69">
        <v>612306</v>
      </c>
      <c r="L63" s="70">
        <f t="shared" si="11"/>
        <v>5383</v>
      </c>
      <c r="M63" s="68"/>
      <c r="N63" s="68"/>
    </row>
    <row r="64" spans="3:15" x14ac:dyDescent="0.35">
      <c r="C64" s="61" t="s">
        <v>14</v>
      </c>
      <c r="D64" s="213">
        <v>0</v>
      </c>
      <c r="E64" s="214"/>
      <c r="H64" s="42" t="s">
        <v>46</v>
      </c>
      <c r="I64" s="42" t="s">
        <v>20</v>
      </c>
      <c r="J64" s="68">
        <v>8160</v>
      </c>
      <c r="K64" s="69">
        <v>8160</v>
      </c>
      <c r="L64" s="70">
        <f t="shared" si="11"/>
        <v>0</v>
      </c>
    </row>
    <row r="65" spans="3:14" x14ac:dyDescent="0.35">
      <c r="C65" s="61" t="s">
        <v>72</v>
      </c>
      <c r="D65" s="213">
        <v>0</v>
      </c>
      <c r="E65" s="214"/>
      <c r="H65" s="42" t="s">
        <v>27</v>
      </c>
      <c r="I65" s="42" t="s">
        <v>47</v>
      </c>
      <c r="J65" s="68">
        <f>M21-O21-N21-L21+I21</f>
        <v>51257</v>
      </c>
      <c r="K65" s="69">
        <v>51257</v>
      </c>
      <c r="L65" s="70">
        <f>J65-K65</f>
        <v>0</v>
      </c>
    </row>
    <row r="66" spans="3:14" x14ac:dyDescent="0.35">
      <c r="C66" s="61" t="s">
        <v>69</v>
      </c>
      <c r="D66" s="213">
        <v>0</v>
      </c>
      <c r="E66" s="214"/>
      <c r="H66" s="72" t="s">
        <v>45</v>
      </c>
      <c r="I66" s="72"/>
      <c r="J66" s="73">
        <f>SUM(J61:J65)</f>
        <v>2693768</v>
      </c>
      <c r="K66" s="69">
        <f>SUM(K61:K65)</f>
        <v>2463188</v>
      </c>
      <c r="L66" s="70">
        <f>J66-K66</f>
        <v>230580</v>
      </c>
    </row>
    <row r="67" spans="3:14" x14ac:dyDescent="0.35">
      <c r="C67" s="61" t="s">
        <v>70</v>
      </c>
      <c r="D67" s="213">
        <v>0</v>
      </c>
      <c r="E67" s="214"/>
      <c r="F67" s="68"/>
      <c r="H67" s="67" t="s">
        <v>42</v>
      </c>
      <c r="I67" s="67" t="s">
        <v>43</v>
      </c>
      <c r="J67" s="67" t="s">
        <v>44</v>
      </c>
    </row>
    <row r="68" spans="3:14" x14ac:dyDescent="0.35">
      <c r="C68" s="61" t="s">
        <v>71</v>
      </c>
      <c r="D68" s="213">
        <v>0</v>
      </c>
      <c r="E68" s="214"/>
      <c r="F68" s="79"/>
      <c r="G68" s="80"/>
      <c r="H68" s="42" t="s">
        <v>49</v>
      </c>
      <c r="I68" s="42" t="s">
        <v>51</v>
      </c>
      <c r="J68" s="68">
        <f>M29-O29-N29-L29+I29</f>
        <v>1466110</v>
      </c>
      <c r="K68" s="69">
        <v>1466110</v>
      </c>
      <c r="L68" s="70">
        <f t="shared" ref="L68:L74" si="12">J68-K68</f>
        <v>0</v>
      </c>
      <c r="N68" s="68"/>
    </row>
    <row r="69" spans="3:14" x14ac:dyDescent="0.35">
      <c r="C69" s="77" t="s">
        <v>73</v>
      </c>
      <c r="D69" s="219">
        <f>SUM(D64:D68)</f>
        <v>0</v>
      </c>
      <c r="E69" s="220"/>
      <c r="F69" s="68"/>
      <c r="H69" s="42" t="s">
        <v>49</v>
      </c>
      <c r="I69" s="42" t="s">
        <v>18</v>
      </c>
      <c r="J69" s="68">
        <f>M30-O30-N30-L30+I30</f>
        <v>174473</v>
      </c>
      <c r="K69" s="69">
        <v>174473</v>
      </c>
      <c r="L69" s="70">
        <f t="shared" si="12"/>
        <v>0</v>
      </c>
    </row>
    <row r="70" spans="3:14" x14ac:dyDescent="0.35">
      <c r="C70" s="81" t="s">
        <v>74</v>
      </c>
      <c r="D70" s="223">
        <f>D62-D69</f>
        <v>1715531</v>
      </c>
      <c r="E70" s="224"/>
      <c r="F70" s="68"/>
      <c r="H70" s="42" t="s">
        <v>49</v>
      </c>
      <c r="I70" s="42" t="s">
        <v>15</v>
      </c>
      <c r="J70" s="68">
        <f>M31-O31-N31-L31+I31</f>
        <v>35126</v>
      </c>
      <c r="K70" s="69">
        <v>35126</v>
      </c>
      <c r="L70" s="70">
        <f t="shared" si="12"/>
        <v>0</v>
      </c>
    </row>
    <row r="71" spans="3:14" x14ac:dyDescent="0.35">
      <c r="C71" s="61"/>
      <c r="D71" s="213">
        <v>3102990</v>
      </c>
      <c r="E71" s="214"/>
      <c r="H71" s="42" t="s">
        <v>49</v>
      </c>
      <c r="I71" s="42" t="s">
        <v>50</v>
      </c>
      <c r="J71" s="68">
        <f>M32-O32-N32-L32+I32+G71</f>
        <v>1385997</v>
      </c>
      <c r="K71" s="69">
        <v>1281692</v>
      </c>
      <c r="L71" s="70">
        <f t="shared" si="12"/>
        <v>104305</v>
      </c>
    </row>
    <row r="72" spans="3:14" x14ac:dyDescent="0.35">
      <c r="C72" s="61"/>
      <c r="D72" s="213">
        <f>D70-D71</f>
        <v>-1387459</v>
      </c>
      <c r="E72" s="214"/>
      <c r="H72" s="42" t="s">
        <v>49</v>
      </c>
      <c r="I72" s="42" t="s">
        <v>20</v>
      </c>
      <c r="J72" s="68">
        <f>'Opening Balance FEB 2026'!F24</f>
        <v>66046</v>
      </c>
      <c r="K72" s="69">
        <v>96296</v>
      </c>
      <c r="L72" s="70">
        <f t="shared" si="12"/>
        <v>-30250</v>
      </c>
    </row>
    <row r="73" spans="3:14" x14ac:dyDescent="0.35">
      <c r="H73" s="42" t="s">
        <v>49</v>
      </c>
      <c r="I73" s="42" t="s">
        <v>47</v>
      </c>
      <c r="J73" s="68">
        <f>'Opening Balance FEB 2026'!F25</f>
        <v>23570</v>
      </c>
      <c r="K73" s="69">
        <v>23570</v>
      </c>
      <c r="L73" s="70">
        <f t="shared" si="12"/>
        <v>0</v>
      </c>
    </row>
    <row r="74" spans="3:14" x14ac:dyDescent="0.35">
      <c r="H74" s="72" t="s">
        <v>45</v>
      </c>
      <c r="I74" s="72"/>
      <c r="J74" s="73">
        <f>SUM(J68:J73)</f>
        <v>3151322</v>
      </c>
      <c r="K74" s="69">
        <v>3176572</v>
      </c>
      <c r="L74" s="70">
        <f t="shared" si="12"/>
        <v>-25250</v>
      </c>
      <c r="N74" s="68"/>
    </row>
    <row r="75" spans="3:14" x14ac:dyDescent="0.35">
      <c r="H75" s="67" t="s">
        <v>42</v>
      </c>
      <c r="I75" s="67" t="s">
        <v>43</v>
      </c>
      <c r="J75" s="67" t="s">
        <v>44</v>
      </c>
    </row>
    <row r="76" spans="3:14" x14ac:dyDescent="0.35">
      <c r="H76" s="42" t="s">
        <v>52</v>
      </c>
      <c r="I76" s="42" t="s">
        <v>53</v>
      </c>
      <c r="J76" s="68">
        <f>M23-O23-N23-L23+I23-G75</f>
        <v>33969</v>
      </c>
      <c r="K76" s="68">
        <v>33969</v>
      </c>
      <c r="L76" s="70">
        <f>J76-K76</f>
        <v>0</v>
      </c>
    </row>
    <row r="77" spans="3:14" x14ac:dyDescent="0.35">
      <c r="H77" s="42" t="s">
        <v>52</v>
      </c>
      <c r="I77" s="42" t="s">
        <v>47</v>
      </c>
      <c r="J77" s="68">
        <f>M24-O24-N24-L24+I24</f>
        <v>160846</v>
      </c>
      <c r="K77" s="82">
        <v>33969</v>
      </c>
      <c r="L77" s="70">
        <f>J77-K77</f>
        <v>126877</v>
      </c>
    </row>
    <row r="78" spans="3:14" x14ac:dyDescent="0.35">
      <c r="H78" s="72" t="s">
        <v>45</v>
      </c>
      <c r="I78" s="72"/>
      <c r="J78" s="73">
        <f>SUM(J76:J77)</f>
        <v>194815</v>
      </c>
      <c r="K78" s="68">
        <v>160846</v>
      </c>
      <c r="L78" s="70">
        <f>J78-K78</f>
        <v>33969</v>
      </c>
    </row>
    <row r="79" spans="3:14" x14ac:dyDescent="0.35">
      <c r="G79" s="42">
        <v>0</v>
      </c>
      <c r="H79" s="67" t="s">
        <v>42</v>
      </c>
      <c r="I79" s="67" t="s">
        <v>43</v>
      </c>
      <c r="J79" s="67" t="s">
        <v>44</v>
      </c>
      <c r="K79" s="69">
        <v>0</v>
      </c>
      <c r="L79" s="70"/>
    </row>
    <row r="80" spans="3:14" x14ac:dyDescent="0.35">
      <c r="H80" s="42" t="s">
        <v>54</v>
      </c>
      <c r="I80" s="42" t="s">
        <v>53</v>
      </c>
      <c r="J80" s="68">
        <f>M26-O26-N26-L26+I26-G79</f>
        <v>89658</v>
      </c>
      <c r="K80" s="69">
        <v>89658</v>
      </c>
      <c r="L80" s="70">
        <f>J80-K80</f>
        <v>0</v>
      </c>
    </row>
    <row r="81" spans="4:12" x14ac:dyDescent="0.35">
      <c r="H81" s="42" t="s">
        <v>54</v>
      </c>
      <c r="I81" s="42" t="s">
        <v>18</v>
      </c>
      <c r="J81" s="68">
        <f>M27-O27-N27-L27+I27</f>
        <v>42000</v>
      </c>
      <c r="K81" s="69">
        <v>67000</v>
      </c>
      <c r="L81" s="70">
        <f>J81-K81</f>
        <v>-25000</v>
      </c>
    </row>
    <row r="82" spans="4:12" x14ac:dyDescent="0.35">
      <c r="H82" s="72" t="s">
        <v>45</v>
      </c>
      <c r="I82" s="72"/>
      <c r="J82" s="73">
        <f>SUM(J80:J81)</f>
        <v>131658</v>
      </c>
      <c r="K82" s="68">
        <f>SUM(K79:K81)</f>
        <v>156658</v>
      </c>
      <c r="L82" s="70">
        <f>J82-K82</f>
        <v>-25000</v>
      </c>
    </row>
    <row r="83" spans="4:12" x14ac:dyDescent="0.35">
      <c r="H83" s="67" t="s">
        <v>42</v>
      </c>
      <c r="I83" s="67" t="s">
        <v>43</v>
      </c>
      <c r="J83" s="67" t="s">
        <v>44</v>
      </c>
      <c r="K83" s="69">
        <v>0</v>
      </c>
      <c r="L83" s="70"/>
    </row>
    <row r="84" spans="4:12" x14ac:dyDescent="0.35">
      <c r="H84" s="42" t="s">
        <v>55</v>
      </c>
      <c r="I84" s="42" t="s">
        <v>56</v>
      </c>
      <c r="J84" s="68">
        <f>'Opening Balance FEB 2026'!F36</f>
        <v>103541</v>
      </c>
      <c r="K84" s="69">
        <v>103541</v>
      </c>
      <c r="L84" s="70">
        <f>J84-K84</f>
        <v>0</v>
      </c>
    </row>
    <row r="85" spans="4:12" x14ac:dyDescent="0.35">
      <c r="H85" s="42" t="s">
        <v>55</v>
      </c>
      <c r="I85" s="42" t="s">
        <v>47</v>
      </c>
      <c r="J85" s="68">
        <f>'Opening Balance FEB 2026'!F37</f>
        <v>6013</v>
      </c>
      <c r="K85" s="69">
        <v>6013</v>
      </c>
      <c r="L85" s="70">
        <f>J85-K85</f>
        <v>0</v>
      </c>
    </row>
    <row r="86" spans="4:12" x14ac:dyDescent="0.35">
      <c r="H86" s="72" t="s">
        <v>45</v>
      </c>
      <c r="I86" s="72"/>
      <c r="J86" s="73">
        <v>109554</v>
      </c>
      <c r="K86" s="68">
        <f>SUM(K83:K85)</f>
        <v>109554</v>
      </c>
      <c r="L86" s="70">
        <f>J86-K86</f>
        <v>0</v>
      </c>
    </row>
    <row r="87" spans="4:12" x14ac:dyDescent="0.35">
      <c r="H87" s="67" t="s">
        <v>42</v>
      </c>
      <c r="I87" s="67" t="s">
        <v>43</v>
      </c>
      <c r="J87" s="67" t="s">
        <v>44</v>
      </c>
      <c r="K87" s="69">
        <v>0</v>
      </c>
      <c r="L87" s="70"/>
    </row>
    <row r="88" spans="4:12" x14ac:dyDescent="0.35">
      <c r="H88" s="42" t="s">
        <v>57</v>
      </c>
      <c r="I88" s="42" t="s">
        <v>47</v>
      </c>
      <c r="J88" s="68">
        <f>'Opening Balance FEB 2026'!F40</f>
        <v>16440</v>
      </c>
      <c r="K88" s="69">
        <v>16440</v>
      </c>
      <c r="L88" s="70">
        <f>J88-K88</f>
        <v>0</v>
      </c>
    </row>
    <row r="89" spans="4:12" x14ac:dyDescent="0.35">
      <c r="H89" s="72" t="s">
        <v>45</v>
      </c>
      <c r="I89" s="72"/>
      <c r="J89" s="73">
        <v>16440</v>
      </c>
      <c r="K89" s="69">
        <f>SUM(K87:K88)</f>
        <v>16440</v>
      </c>
    </row>
    <row r="90" spans="4:12" x14ac:dyDescent="0.35">
      <c r="J90" s="68"/>
    </row>
    <row r="91" spans="4:12" x14ac:dyDescent="0.35">
      <c r="H91" s="83" t="s">
        <v>58</v>
      </c>
      <c r="I91" s="83"/>
      <c r="J91" s="84">
        <f>J89+J86+J82+J78+J74+J66+J58</f>
        <v>13909613</v>
      </c>
    </row>
    <row r="93" spans="4:12" x14ac:dyDescent="0.35">
      <c r="D93" s="85" t="s">
        <v>82</v>
      </c>
      <c r="E93" s="85"/>
      <c r="F93" s="85"/>
      <c r="G93" s="85"/>
      <c r="H93" s="85"/>
    </row>
    <row r="94" spans="4:12" x14ac:dyDescent="0.35">
      <c r="D94" s="78" t="s">
        <v>42</v>
      </c>
      <c r="E94" s="78" t="s">
        <v>43</v>
      </c>
      <c r="F94" s="78" t="s">
        <v>79</v>
      </c>
      <c r="G94" s="78" t="s">
        <v>80</v>
      </c>
      <c r="H94" s="78" t="s">
        <v>81</v>
      </c>
    </row>
    <row r="95" spans="4:12" x14ac:dyDescent="0.35">
      <c r="D95" s="61" t="s">
        <v>14</v>
      </c>
      <c r="E95" s="61" t="s">
        <v>15</v>
      </c>
      <c r="F95" s="86">
        <f>H5</f>
        <v>0</v>
      </c>
      <c r="G95" s="86">
        <f>O5</f>
        <v>0</v>
      </c>
      <c r="H95" s="86">
        <f>I5</f>
        <v>0</v>
      </c>
    </row>
    <row r="96" spans="4:12" x14ac:dyDescent="0.35">
      <c r="D96" s="61" t="s">
        <v>14</v>
      </c>
      <c r="E96" s="61" t="s">
        <v>17</v>
      </c>
      <c r="F96" s="86">
        <f>H6</f>
        <v>455554</v>
      </c>
      <c r="G96" s="86">
        <f>O6</f>
        <v>0</v>
      </c>
      <c r="H96" s="86">
        <f>I6</f>
        <v>455554</v>
      </c>
    </row>
    <row r="97" spans="4:8" x14ac:dyDescent="0.35">
      <c r="D97" s="61" t="s">
        <v>14</v>
      </c>
      <c r="E97" s="61" t="s">
        <v>18</v>
      </c>
      <c r="F97" s="86">
        <f>H7</f>
        <v>124731</v>
      </c>
      <c r="G97" s="86">
        <f>O7</f>
        <v>71286</v>
      </c>
      <c r="H97" s="86">
        <f>I7</f>
        <v>103871</v>
      </c>
    </row>
    <row r="98" spans="4:8" x14ac:dyDescent="0.35">
      <c r="D98" s="61" t="s">
        <v>14</v>
      </c>
      <c r="E98" s="61" t="s">
        <v>19</v>
      </c>
      <c r="F98" s="86">
        <f>H8</f>
        <v>90594</v>
      </c>
      <c r="G98" s="86">
        <f>O8</f>
        <v>42458</v>
      </c>
      <c r="H98" s="86">
        <f>I8</f>
        <v>83025</v>
      </c>
    </row>
    <row r="99" spans="4:8" x14ac:dyDescent="0.35">
      <c r="D99" s="61" t="s">
        <v>14</v>
      </c>
      <c r="E99" s="61" t="s">
        <v>20</v>
      </c>
      <c r="F99" s="86">
        <f>H10</f>
        <v>151571</v>
      </c>
      <c r="G99" s="86">
        <f t="shared" ref="G99:G100" si="13">O10</f>
        <v>21705</v>
      </c>
      <c r="H99" s="86">
        <f t="shared" ref="H99:H100" si="14">I10</f>
        <v>120820</v>
      </c>
    </row>
    <row r="100" spans="4:8" x14ac:dyDescent="0.35">
      <c r="D100" s="61" t="s">
        <v>14</v>
      </c>
      <c r="E100" s="61" t="s">
        <v>21</v>
      </c>
      <c r="F100" s="86" t="e">
        <f>H11+#REF!</f>
        <v>#REF!</v>
      </c>
      <c r="G100" s="86">
        <f t="shared" si="13"/>
        <v>33832</v>
      </c>
      <c r="H100" s="86">
        <f t="shared" si="14"/>
        <v>37794</v>
      </c>
    </row>
    <row r="101" spans="4:8" x14ac:dyDescent="0.35">
      <c r="D101" s="87" t="s">
        <v>45</v>
      </c>
      <c r="E101" s="87"/>
      <c r="F101" s="88" t="e">
        <f>SUM(F95:F100)</f>
        <v>#REF!</v>
      </c>
      <c r="G101" s="88">
        <f t="shared" ref="G101" si="15">SUM(G95:G100)</f>
        <v>169281</v>
      </c>
      <c r="H101" s="88">
        <f>SUM(H95:H100)</f>
        <v>801064</v>
      </c>
    </row>
    <row r="102" spans="4:8" x14ac:dyDescent="0.35">
      <c r="D102" s="78" t="s">
        <v>42</v>
      </c>
      <c r="E102" s="78" t="s">
        <v>43</v>
      </c>
      <c r="F102" s="89" t="s">
        <v>79</v>
      </c>
      <c r="G102" s="89" t="s">
        <v>80</v>
      </c>
      <c r="H102" s="89" t="s">
        <v>81</v>
      </c>
    </row>
    <row r="103" spans="4:8" x14ac:dyDescent="0.35">
      <c r="D103" s="61" t="s">
        <v>46</v>
      </c>
      <c r="E103" s="61" t="s">
        <v>48</v>
      </c>
      <c r="F103" s="86">
        <f>H13</f>
        <v>31966</v>
      </c>
      <c r="G103" s="86">
        <f>O13</f>
        <v>22256</v>
      </c>
      <c r="H103" s="86">
        <f>I13</f>
        <v>17000</v>
      </c>
    </row>
    <row r="104" spans="4:8" x14ac:dyDescent="0.35">
      <c r="D104" s="61" t="s">
        <v>46</v>
      </c>
      <c r="E104" s="61" t="s">
        <v>47</v>
      </c>
      <c r="F104" s="86">
        <f>H15</f>
        <v>141207</v>
      </c>
      <c r="G104" s="86">
        <f>O15</f>
        <v>8422</v>
      </c>
      <c r="H104" s="86">
        <f>I15</f>
        <v>132647</v>
      </c>
    </row>
    <row r="105" spans="4:8" x14ac:dyDescent="0.35">
      <c r="D105" s="61" t="s">
        <v>27</v>
      </c>
      <c r="E105" s="61" t="s">
        <v>47</v>
      </c>
      <c r="F105" s="86">
        <v>0</v>
      </c>
      <c r="G105" s="86">
        <v>0</v>
      </c>
      <c r="H105" s="86">
        <v>0</v>
      </c>
    </row>
    <row r="106" spans="4:8" x14ac:dyDescent="0.35">
      <c r="D106" s="87" t="s">
        <v>45</v>
      </c>
      <c r="E106" s="87"/>
      <c r="F106" s="88">
        <f>SUM(F103:F105)</f>
        <v>173173</v>
      </c>
      <c r="G106" s="88">
        <f>SUM(G103:G105)</f>
        <v>30678</v>
      </c>
      <c r="H106" s="88">
        <f>SUM(H103:H105)</f>
        <v>149647</v>
      </c>
    </row>
    <row r="107" spans="4:8" x14ac:dyDescent="0.35">
      <c r="D107" s="78" t="s">
        <v>42</v>
      </c>
      <c r="E107" s="78" t="s">
        <v>43</v>
      </c>
      <c r="F107" s="89" t="s">
        <v>79</v>
      </c>
      <c r="G107" s="89" t="s">
        <v>80</v>
      </c>
      <c r="H107" s="89" t="s">
        <v>81</v>
      </c>
    </row>
    <row r="108" spans="4:8" x14ac:dyDescent="0.35">
      <c r="D108" s="61" t="s">
        <v>49</v>
      </c>
      <c r="E108" s="61" t="s">
        <v>51</v>
      </c>
      <c r="F108" s="86" t="e">
        <f>#REF!</f>
        <v>#REF!</v>
      </c>
      <c r="G108" s="86" t="e">
        <f>#REF!</f>
        <v>#REF!</v>
      </c>
      <c r="H108" s="86" t="e">
        <f>#REF!</f>
        <v>#REF!</v>
      </c>
    </row>
    <row r="109" spans="4:8" x14ac:dyDescent="0.35">
      <c r="D109" s="61" t="s">
        <v>49</v>
      </c>
      <c r="E109" s="61" t="s">
        <v>18</v>
      </c>
      <c r="F109" s="86">
        <f>H30</f>
        <v>0</v>
      </c>
      <c r="G109" s="86">
        <f>O30</f>
        <v>0</v>
      </c>
      <c r="H109" s="86">
        <v>0</v>
      </c>
    </row>
    <row r="110" spans="4:8" x14ac:dyDescent="0.35">
      <c r="D110" s="61" t="s">
        <v>49</v>
      </c>
      <c r="E110" s="61" t="s">
        <v>50</v>
      </c>
      <c r="F110" s="86" t="e">
        <f>#REF!+#REF!</f>
        <v>#REF!</v>
      </c>
      <c r="G110" s="86" t="e">
        <f>#REF!</f>
        <v>#REF!</v>
      </c>
      <c r="H110" s="86" t="e">
        <f>#REF!+#REF!</f>
        <v>#REF!</v>
      </c>
    </row>
    <row r="111" spans="4:8" x14ac:dyDescent="0.35">
      <c r="D111" s="87" t="s">
        <v>45</v>
      </c>
      <c r="E111" s="87"/>
      <c r="F111" s="88" t="e">
        <f>SUM(F108:F110)</f>
        <v>#REF!</v>
      </c>
      <c r="G111" s="88" t="e">
        <f>SUM(G108:G110)</f>
        <v>#REF!</v>
      </c>
      <c r="H111" s="88" t="e">
        <f>SUM(H108:H110)</f>
        <v>#REF!</v>
      </c>
    </row>
    <row r="112" spans="4:8" x14ac:dyDescent="0.35">
      <c r="D112" s="78" t="s">
        <v>42</v>
      </c>
      <c r="E112" s="78" t="s">
        <v>43</v>
      </c>
      <c r="F112" s="89" t="s">
        <v>79</v>
      </c>
      <c r="G112" s="89" t="s">
        <v>80</v>
      </c>
      <c r="H112" s="89" t="s">
        <v>81</v>
      </c>
    </row>
    <row r="113" spans="4:8" x14ac:dyDescent="0.35">
      <c r="D113" s="61" t="s">
        <v>52</v>
      </c>
      <c r="E113" s="61" t="s">
        <v>53</v>
      </c>
      <c r="F113" s="86">
        <f>H23</f>
        <v>0</v>
      </c>
      <c r="G113" s="86">
        <f>O23</f>
        <v>0</v>
      </c>
      <c r="H113" s="86">
        <f>I23</f>
        <v>0</v>
      </c>
    </row>
    <row r="114" spans="4:8" x14ac:dyDescent="0.35">
      <c r="D114" s="87" t="s">
        <v>45</v>
      </c>
      <c r="E114" s="87"/>
      <c r="F114" s="88">
        <f>SUM(F113)</f>
        <v>0</v>
      </c>
      <c r="G114" s="88">
        <f t="shared" ref="G114" si="16">SUM(G113)</f>
        <v>0</v>
      </c>
      <c r="H114" s="88">
        <f>SUM(H113)</f>
        <v>0</v>
      </c>
    </row>
    <row r="115" spans="4:8" x14ac:dyDescent="0.35">
      <c r="D115" s="78" t="s">
        <v>42</v>
      </c>
      <c r="E115" s="78" t="s">
        <v>43</v>
      </c>
      <c r="F115" s="89" t="s">
        <v>79</v>
      </c>
      <c r="G115" s="89" t="s">
        <v>80</v>
      </c>
      <c r="H115" s="89" t="s">
        <v>81</v>
      </c>
    </row>
    <row r="116" spans="4:8" x14ac:dyDescent="0.35">
      <c r="D116" s="61" t="s">
        <v>54</v>
      </c>
      <c r="E116" s="61" t="s">
        <v>53</v>
      </c>
      <c r="F116" s="86">
        <f>H26</f>
        <v>0</v>
      </c>
      <c r="G116" s="86">
        <f>O26</f>
        <v>0</v>
      </c>
      <c r="H116" s="86">
        <f>I26</f>
        <v>0</v>
      </c>
    </row>
    <row r="117" spans="4:8" x14ac:dyDescent="0.35">
      <c r="D117" s="61" t="s">
        <v>54</v>
      </c>
      <c r="E117" s="61" t="s">
        <v>18</v>
      </c>
      <c r="F117" s="86">
        <f>H27</f>
        <v>0</v>
      </c>
      <c r="G117" s="86">
        <f>O27</f>
        <v>0</v>
      </c>
      <c r="H117" s="86">
        <f>I27</f>
        <v>0</v>
      </c>
    </row>
    <row r="118" spans="4:8" x14ac:dyDescent="0.35">
      <c r="D118" s="87" t="s">
        <v>45</v>
      </c>
      <c r="E118" s="87"/>
      <c r="F118" s="88">
        <f>SUM(F116:F117)</f>
        <v>0</v>
      </c>
      <c r="G118" s="88">
        <f t="shared" ref="G118" si="17">SUM(G116:G117)</f>
        <v>0</v>
      </c>
      <c r="H118" s="88">
        <f>SUM(H116:H117)</f>
        <v>0</v>
      </c>
    </row>
    <row r="119" spans="4:8" x14ac:dyDescent="0.35">
      <c r="D119" s="90"/>
      <c r="E119" s="90"/>
      <c r="F119" s="91" t="e">
        <f>F118+F114+F111+F106+F101</f>
        <v>#REF!</v>
      </c>
      <c r="G119" s="91" t="e">
        <f t="shared" ref="G119" si="18">G118+G114+G111+G106+G101</f>
        <v>#REF!</v>
      </c>
      <c r="H119" s="91" t="e">
        <f>H118+H114+H111+H106+H101</f>
        <v>#REF!</v>
      </c>
    </row>
  </sheetData>
  <mergeCells count="43">
    <mergeCell ref="M45:O45"/>
    <mergeCell ref="C2:O2"/>
    <mergeCell ref="C3:O3"/>
    <mergeCell ref="H35:I35"/>
    <mergeCell ref="K36:L36"/>
    <mergeCell ref="M36:O36"/>
    <mergeCell ref="C37:D37"/>
    <mergeCell ref="K37:L37"/>
    <mergeCell ref="K38:L38"/>
    <mergeCell ref="K39:L39"/>
    <mergeCell ref="K40:L40"/>
    <mergeCell ref="K41:L41"/>
    <mergeCell ref="K45:L45"/>
    <mergeCell ref="K46:L46"/>
    <mergeCell ref="M46:O46"/>
    <mergeCell ref="K47:L47"/>
    <mergeCell ref="M47:O47"/>
    <mergeCell ref="K48:L48"/>
    <mergeCell ref="M48:O48"/>
    <mergeCell ref="D60:E60"/>
    <mergeCell ref="K49:L49"/>
    <mergeCell ref="M49:O49"/>
    <mergeCell ref="H50:J50"/>
    <mergeCell ref="K50:K51"/>
    <mergeCell ref="C53:E53"/>
    <mergeCell ref="C54:E54"/>
    <mergeCell ref="D55:E55"/>
    <mergeCell ref="D56:E56"/>
    <mergeCell ref="D57:E57"/>
    <mergeCell ref="D58:E58"/>
    <mergeCell ref="D59:E59"/>
    <mergeCell ref="D72:E72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7"/>
  <sheetViews>
    <sheetView topLeftCell="A4" zoomScale="60" zoomScaleNormal="60" workbookViewId="0">
      <selection activeCell="O14" sqref="O14"/>
    </sheetView>
  </sheetViews>
  <sheetFormatPr defaultRowHeight="21" x14ac:dyDescent="0.35"/>
  <cols>
    <col min="1" max="1" width="5.5703125" style="42" customWidth="1"/>
    <col min="2" max="2" width="0.140625" style="42" hidden="1" customWidth="1"/>
    <col min="3" max="3" width="20.85546875" style="42" customWidth="1"/>
    <col min="4" max="4" width="25.42578125" style="42" customWidth="1"/>
    <col min="5" max="5" width="17.140625" style="42" customWidth="1"/>
    <col min="6" max="6" width="20.85546875" style="42" customWidth="1"/>
    <col min="7" max="7" width="21" style="42" customWidth="1"/>
    <col min="8" max="8" width="22.140625" style="42" bestFit="1" customWidth="1"/>
    <col min="9" max="9" width="22.85546875" style="42" bestFit="1" customWidth="1"/>
    <col min="10" max="10" width="21.42578125" style="42" customWidth="1"/>
    <col min="11" max="11" width="20.85546875" style="42" customWidth="1"/>
    <col min="12" max="12" width="21.140625" style="42" customWidth="1"/>
    <col min="13" max="13" width="26.140625" style="42" bestFit="1" customWidth="1"/>
    <col min="14" max="14" width="15.7109375" style="42" customWidth="1"/>
    <col min="15" max="15" width="22" style="42" customWidth="1"/>
    <col min="16" max="16" width="7.5703125" style="42" customWidth="1"/>
    <col min="17" max="17" width="14.28515625" style="42" bestFit="1" customWidth="1"/>
    <col min="18" max="18" width="11.42578125" style="42" customWidth="1"/>
    <col min="19" max="16384" width="9.140625" style="42"/>
  </cols>
  <sheetData>
    <row r="2" spans="1:16" x14ac:dyDescent="0.35">
      <c r="C2" s="194">
        <v>46086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6"/>
    </row>
    <row r="3" spans="1:16" x14ac:dyDescent="0.35">
      <c r="C3" s="197" t="s">
        <v>0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6" ht="84" x14ac:dyDescent="0.35">
      <c r="A4" s="97"/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  <c r="J4" s="40" t="s">
        <v>8</v>
      </c>
      <c r="K4" s="43" t="s">
        <v>9</v>
      </c>
      <c r="L4" s="43" t="s">
        <v>10</v>
      </c>
      <c r="M4" s="44" t="s">
        <v>11</v>
      </c>
      <c r="N4" s="45" t="s">
        <v>12</v>
      </c>
      <c r="O4" s="40" t="s">
        <v>13</v>
      </c>
    </row>
    <row r="5" spans="1:16" x14ac:dyDescent="0.35">
      <c r="A5" s="46"/>
      <c r="C5" s="37" t="s">
        <v>14</v>
      </c>
      <c r="D5" s="38" t="s">
        <v>15</v>
      </c>
      <c r="E5" s="39" t="s">
        <v>86</v>
      </c>
      <c r="F5" s="27">
        <v>17850</v>
      </c>
      <c r="G5" s="27">
        <v>0</v>
      </c>
      <c r="H5" s="28">
        <f>F5-G5</f>
        <v>17850</v>
      </c>
      <c r="I5" s="28">
        <f>H5-J5</f>
        <v>17850</v>
      </c>
      <c r="J5" s="25">
        <v>0</v>
      </c>
      <c r="K5" s="29">
        <v>0</v>
      </c>
      <c r="L5" s="25">
        <v>0</v>
      </c>
      <c r="M5" s="27">
        <f>'04-03-2026'!J52</f>
        <v>347450</v>
      </c>
      <c r="N5" s="29">
        <v>0</v>
      </c>
      <c r="O5" s="30">
        <v>43102</v>
      </c>
      <c r="P5" s="47"/>
    </row>
    <row r="6" spans="1:16" x14ac:dyDescent="0.35">
      <c r="A6" s="46"/>
      <c r="C6" s="37" t="s">
        <v>14</v>
      </c>
      <c r="D6" s="38" t="s">
        <v>17</v>
      </c>
      <c r="E6" s="39" t="s">
        <v>86</v>
      </c>
      <c r="F6" s="27">
        <v>0</v>
      </c>
      <c r="G6" s="27">
        <v>0</v>
      </c>
      <c r="H6" s="28">
        <f t="shared" ref="H6:H10" si="0">F6-G6</f>
        <v>0</v>
      </c>
      <c r="I6" s="28">
        <f t="shared" ref="I6:I10" si="1">H6-J6</f>
        <v>0</v>
      </c>
      <c r="J6" s="25">
        <v>0</v>
      </c>
      <c r="K6" s="29">
        <v>0</v>
      </c>
      <c r="L6" s="25">
        <v>0</v>
      </c>
      <c r="M6" s="27">
        <f>'04-03-2026'!J53</f>
        <v>3561859</v>
      </c>
      <c r="N6" s="29">
        <v>0</v>
      </c>
      <c r="O6" s="30">
        <v>181758</v>
      </c>
    </row>
    <row r="7" spans="1:16" x14ac:dyDescent="0.35">
      <c r="A7" s="46"/>
      <c r="C7" s="37" t="s">
        <v>14</v>
      </c>
      <c r="D7" s="38" t="s">
        <v>18</v>
      </c>
      <c r="E7" s="39" t="s">
        <v>86</v>
      </c>
      <c r="F7" s="27">
        <v>104887</v>
      </c>
      <c r="G7" s="27">
        <v>0</v>
      </c>
      <c r="H7" s="28">
        <f t="shared" si="0"/>
        <v>104887</v>
      </c>
      <c r="I7" s="28">
        <f t="shared" si="1"/>
        <v>98743</v>
      </c>
      <c r="J7" s="25">
        <v>6144</v>
      </c>
      <c r="K7" s="29">
        <v>0</v>
      </c>
      <c r="L7" s="25">
        <v>0</v>
      </c>
      <c r="M7" s="27">
        <f>'04-03-2026'!J54</f>
        <v>1158223</v>
      </c>
      <c r="N7" s="29">
        <v>0</v>
      </c>
      <c r="O7" s="30">
        <v>30060</v>
      </c>
    </row>
    <row r="8" spans="1:16" x14ac:dyDescent="0.35">
      <c r="A8" s="46"/>
      <c r="C8" s="37" t="s">
        <v>14</v>
      </c>
      <c r="D8" s="38" t="s">
        <v>19</v>
      </c>
      <c r="E8" s="39" t="s">
        <v>95</v>
      </c>
      <c r="F8" s="27">
        <v>96421</v>
      </c>
      <c r="G8" s="27">
        <v>715</v>
      </c>
      <c r="H8" s="28">
        <f t="shared" si="0"/>
        <v>95706</v>
      </c>
      <c r="I8" s="28">
        <f t="shared" si="1"/>
        <v>85686</v>
      </c>
      <c r="J8" s="25">
        <v>10020</v>
      </c>
      <c r="K8" s="29">
        <v>0</v>
      </c>
      <c r="L8" s="25">
        <v>0</v>
      </c>
      <c r="M8" s="27">
        <f>'04-03-2026'!J55</f>
        <v>846993</v>
      </c>
      <c r="N8" s="29">
        <v>0</v>
      </c>
      <c r="O8" s="30">
        <v>58113</v>
      </c>
    </row>
    <row r="9" spans="1:16" x14ac:dyDescent="0.35">
      <c r="A9" s="46"/>
      <c r="C9" s="37" t="s">
        <v>14</v>
      </c>
      <c r="D9" s="38" t="s">
        <v>20</v>
      </c>
      <c r="E9" s="39" t="s">
        <v>97</v>
      </c>
      <c r="F9" s="27">
        <v>90165</v>
      </c>
      <c r="G9" s="27">
        <v>0</v>
      </c>
      <c r="H9" s="28">
        <f t="shared" si="0"/>
        <v>90165</v>
      </c>
      <c r="I9" s="28">
        <f t="shared" si="1"/>
        <v>74458</v>
      </c>
      <c r="J9" s="25">
        <v>15707</v>
      </c>
      <c r="K9" s="29">
        <v>0</v>
      </c>
      <c r="L9" s="25">
        <v>0</v>
      </c>
      <c r="M9" s="27">
        <f>'04-03-2026'!J56</f>
        <v>1242441</v>
      </c>
      <c r="N9" s="29">
        <v>0</v>
      </c>
      <c r="O9" s="30">
        <v>10625</v>
      </c>
    </row>
    <row r="10" spans="1:16" x14ac:dyDescent="0.35">
      <c r="A10" s="46"/>
      <c r="C10" s="37" t="s">
        <v>14</v>
      </c>
      <c r="D10" s="38" t="s">
        <v>21</v>
      </c>
      <c r="E10" s="39" t="s">
        <v>95</v>
      </c>
      <c r="F10" s="27">
        <v>52820</v>
      </c>
      <c r="G10" s="27">
        <v>504</v>
      </c>
      <c r="H10" s="28">
        <f t="shared" si="0"/>
        <v>52316</v>
      </c>
      <c r="I10" s="28">
        <f t="shared" si="1"/>
        <v>42589</v>
      </c>
      <c r="J10" s="25">
        <v>9727</v>
      </c>
      <c r="K10" s="29">
        <v>0</v>
      </c>
      <c r="L10" s="25">
        <v>0</v>
      </c>
      <c r="M10" s="27">
        <f>'04-03-2026'!J57</f>
        <v>455090</v>
      </c>
      <c r="N10" s="29">
        <v>0</v>
      </c>
      <c r="O10" s="30">
        <v>47952</v>
      </c>
    </row>
    <row r="11" spans="1:16" x14ac:dyDescent="0.35">
      <c r="A11" s="48"/>
      <c r="C11" s="40" t="s">
        <v>22</v>
      </c>
      <c r="D11" s="40"/>
      <c r="E11" s="40"/>
      <c r="F11" s="31">
        <f t="shared" ref="F11:O11" si="2">SUM(F5:F10)</f>
        <v>362143</v>
      </c>
      <c r="G11" s="31">
        <f t="shared" si="2"/>
        <v>1219</v>
      </c>
      <c r="H11" s="31">
        <f t="shared" si="2"/>
        <v>360924</v>
      </c>
      <c r="I11" s="31">
        <f t="shared" si="2"/>
        <v>319326</v>
      </c>
      <c r="J11" s="31">
        <f t="shared" si="2"/>
        <v>41598</v>
      </c>
      <c r="K11" s="31">
        <f t="shared" si="2"/>
        <v>0</v>
      </c>
      <c r="L11" s="31">
        <f t="shared" si="2"/>
        <v>0</v>
      </c>
      <c r="M11" s="31">
        <f t="shared" si="2"/>
        <v>7612056</v>
      </c>
      <c r="N11" s="31">
        <f t="shared" si="2"/>
        <v>0</v>
      </c>
      <c r="O11" s="31">
        <f t="shared" si="2"/>
        <v>371610</v>
      </c>
    </row>
    <row r="12" spans="1:16" x14ac:dyDescent="0.35">
      <c r="C12" s="37" t="s">
        <v>23</v>
      </c>
      <c r="D12" s="38" t="s">
        <v>24</v>
      </c>
      <c r="E12" s="39" t="s">
        <v>85</v>
      </c>
      <c r="F12" s="27">
        <v>55862</v>
      </c>
      <c r="G12" s="27">
        <v>5371</v>
      </c>
      <c r="H12" s="28">
        <f t="shared" ref="H12:H30" si="3">F12-G12</f>
        <v>50491</v>
      </c>
      <c r="I12" s="28">
        <f t="shared" ref="I12:I30" si="4">H12-J12</f>
        <v>21454</v>
      </c>
      <c r="J12" s="25">
        <v>29037</v>
      </c>
      <c r="K12" s="29">
        <v>0</v>
      </c>
      <c r="L12" s="25">
        <v>0</v>
      </c>
      <c r="M12" s="27">
        <f>'04-03-2026'!J61</f>
        <v>477196</v>
      </c>
      <c r="N12" s="29">
        <v>0</v>
      </c>
      <c r="O12" s="25">
        <v>12500</v>
      </c>
    </row>
    <row r="13" spans="1:16" x14ac:dyDescent="0.35">
      <c r="C13" s="37" t="s">
        <v>23</v>
      </c>
      <c r="D13" s="38" t="s">
        <v>25</v>
      </c>
      <c r="E13" s="39" t="s">
        <v>85</v>
      </c>
      <c r="F13" s="27">
        <v>112027</v>
      </c>
      <c r="G13" s="27">
        <v>7335</v>
      </c>
      <c r="H13" s="28">
        <f t="shared" si="3"/>
        <v>104692</v>
      </c>
      <c r="I13" s="28">
        <f t="shared" si="4"/>
        <v>80386</v>
      </c>
      <c r="J13" s="25">
        <v>24306</v>
      </c>
      <c r="K13" s="29">
        <v>0</v>
      </c>
      <c r="L13" s="25">
        <v>0</v>
      </c>
      <c r="M13" s="27">
        <f>'04-03-2026'!J62</f>
        <v>1539466</v>
      </c>
      <c r="N13" s="29">
        <v>0</v>
      </c>
      <c r="O13" s="25">
        <f>68480+25000</f>
        <v>93480</v>
      </c>
    </row>
    <row r="14" spans="1:16" x14ac:dyDescent="0.35">
      <c r="C14" s="37" t="s">
        <v>23</v>
      </c>
      <c r="D14" s="38" t="s">
        <v>25</v>
      </c>
      <c r="E14" s="39" t="s">
        <v>85</v>
      </c>
      <c r="F14" s="27">
        <v>60376</v>
      </c>
      <c r="G14" s="27">
        <v>0</v>
      </c>
      <c r="H14" s="28">
        <f t="shared" si="3"/>
        <v>60376</v>
      </c>
      <c r="I14" s="28">
        <f t="shared" si="4"/>
        <v>60376</v>
      </c>
      <c r="J14" s="25">
        <v>0</v>
      </c>
      <c r="K14" s="29"/>
      <c r="L14" s="25"/>
      <c r="M14" s="27"/>
      <c r="N14" s="29"/>
      <c r="O14" s="25"/>
    </row>
    <row r="15" spans="1:16" x14ac:dyDescent="0.35">
      <c r="C15" s="37" t="s">
        <v>23</v>
      </c>
      <c r="D15" s="38" t="s">
        <v>26</v>
      </c>
      <c r="E15" s="39" t="s">
        <v>84</v>
      </c>
      <c r="F15" s="27">
        <v>0</v>
      </c>
      <c r="G15" s="27">
        <v>0</v>
      </c>
      <c r="H15" s="28">
        <f t="shared" si="3"/>
        <v>0</v>
      </c>
      <c r="I15" s="28">
        <f t="shared" si="4"/>
        <v>0</v>
      </c>
      <c r="J15" s="25">
        <v>0</v>
      </c>
      <c r="K15" s="29">
        <v>0</v>
      </c>
      <c r="L15" s="25">
        <v>0</v>
      </c>
      <c r="M15" s="27">
        <f>'04-03-2026'!J63</f>
        <v>617689</v>
      </c>
      <c r="N15" s="29">
        <v>0</v>
      </c>
      <c r="O15" s="25">
        <v>102077</v>
      </c>
    </row>
    <row r="16" spans="1:16" x14ac:dyDescent="0.35">
      <c r="C16" s="37" t="s">
        <v>23</v>
      </c>
      <c r="D16" s="38" t="s">
        <v>20</v>
      </c>
      <c r="E16" s="39" t="s">
        <v>95</v>
      </c>
      <c r="F16" s="27">
        <v>0</v>
      </c>
      <c r="G16" s="27">
        <v>0</v>
      </c>
      <c r="H16" s="28">
        <f t="shared" si="3"/>
        <v>0</v>
      </c>
      <c r="I16" s="28">
        <f t="shared" si="4"/>
        <v>0</v>
      </c>
      <c r="J16" s="25">
        <v>0</v>
      </c>
      <c r="K16" s="29">
        <v>0</v>
      </c>
      <c r="L16" s="25">
        <v>0</v>
      </c>
      <c r="M16" s="27">
        <v>0</v>
      </c>
      <c r="N16" s="29">
        <v>0</v>
      </c>
      <c r="O16" s="25">
        <v>0</v>
      </c>
    </row>
    <row r="17" spans="3:15" x14ac:dyDescent="0.35">
      <c r="C17" s="37" t="s">
        <v>23</v>
      </c>
      <c r="D17" s="38" t="s">
        <v>18</v>
      </c>
      <c r="E17" s="39" t="s">
        <v>92</v>
      </c>
      <c r="F17" s="27">
        <v>0</v>
      </c>
      <c r="G17" s="27">
        <v>0</v>
      </c>
      <c r="H17" s="28">
        <f t="shared" si="3"/>
        <v>0</v>
      </c>
      <c r="I17" s="28">
        <f t="shared" si="4"/>
        <v>0</v>
      </c>
      <c r="J17" s="25">
        <v>0</v>
      </c>
      <c r="K17" s="29">
        <v>0</v>
      </c>
      <c r="L17" s="25">
        <v>0</v>
      </c>
      <c r="M17" s="27">
        <v>0</v>
      </c>
      <c r="N17" s="29">
        <v>0</v>
      </c>
      <c r="O17" s="25">
        <v>0</v>
      </c>
    </row>
    <row r="18" spans="3:15" x14ac:dyDescent="0.35">
      <c r="C18" s="37" t="s">
        <v>23</v>
      </c>
      <c r="D18" s="40"/>
      <c r="E18" s="40"/>
      <c r="F18" s="31">
        <f>SUM(F12:F17)</f>
        <v>228265</v>
      </c>
      <c r="G18" s="31">
        <f>SUM(G12:G17)</f>
        <v>12706</v>
      </c>
      <c r="H18" s="31">
        <f>SUM(H12:H16)</f>
        <v>215559</v>
      </c>
      <c r="I18" s="31">
        <f>SUM(I12:I16)</f>
        <v>162216</v>
      </c>
      <c r="J18" s="31">
        <f>SUM(J12:J17)</f>
        <v>53343</v>
      </c>
      <c r="K18" s="31">
        <f>SUM(K12:K16)</f>
        <v>0</v>
      </c>
      <c r="L18" s="31">
        <f>SUM(L12:L16)</f>
        <v>0</v>
      </c>
      <c r="M18" s="31">
        <f>SUM(M12:M17)</f>
        <v>2634351</v>
      </c>
      <c r="N18" s="31">
        <f>SUM(N12:N16)</f>
        <v>0</v>
      </c>
      <c r="O18" s="31">
        <f>SUM(O12:O17)</f>
        <v>208057</v>
      </c>
    </row>
    <row r="19" spans="3:15" x14ac:dyDescent="0.35">
      <c r="C19" s="37" t="s">
        <v>27</v>
      </c>
      <c r="D19" s="38" t="s">
        <v>25</v>
      </c>
      <c r="E19" s="39" t="s">
        <v>16</v>
      </c>
      <c r="F19" s="27">
        <v>0</v>
      </c>
      <c r="G19" s="27">
        <v>0</v>
      </c>
      <c r="H19" s="28">
        <f t="shared" si="3"/>
        <v>0</v>
      </c>
      <c r="I19" s="28">
        <f t="shared" si="4"/>
        <v>0</v>
      </c>
      <c r="J19" s="25">
        <v>0</v>
      </c>
      <c r="K19" s="29">
        <v>0</v>
      </c>
      <c r="L19" s="25">
        <v>0</v>
      </c>
      <c r="M19" s="27">
        <f>'04-03-2026'!J65</f>
        <v>51257</v>
      </c>
      <c r="N19" s="29">
        <v>0</v>
      </c>
      <c r="O19" s="25">
        <v>0</v>
      </c>
    </row>
    <row r="20" spans="3:15" x14ac:dyDescent="0.35">
      <c r="C20" s="40"/>
      <c r="D20" s="40"/>
      <c r="E20" s="40"/>
      <c r="F20" s="31">
        <f>SUM(F19)</f>
        <v>0</v>
      </c>
      <c r="G20" s="31">
        <f t="shared" ref="G20:O22" si="5">SUM(G19)</f>
        <v>0</v>
      </c>
      <c r="H20" s="31">
        <f t="shared" si="5"/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51257</v>
      </c>
      <c r="N20" s="31">
        <f t="shared" si="5"/>
        <v>0</v>
      </c>
      <c r="O20" s="31">
        <f t="shared" si="5"/>
        <v>0</v>
      </c>
    </row>
    <row r="21" spans="3:15" x14ac:dyDescent="0.35">
      <c r="C21" s="37" t="s">
        <v>28</v>
      </c>
      <c r="D21" s="38" t="s">
        <v>29</v>
      </c>
      <c r="E21" s="39" t="s">
        <v>16</v>
      </c>
      <c r="F21" s="27">
        <v>0</v>
      </c>
      <c r="G21" s="27">
        <v>0</v>
      </c>
      <c r="H21" s="28">
        <f t="shared" si="3"/>
        <v>0</v>
      </c>
      <c r="I21" s="28">
        <f t="shared" si="4"/>
        <v>0</v>
      </c>
      <c r="J21" s="25">
        <v>0</v>
      </c>
      <c r="K21" s="29">
        <v>0</v>
      </c>
      <c r="L21" s="25">
        <v>0</v>
      </c>
      <c r="M21" s="27">
        <f>'04-03-2026'!J76</f>
        <v>33969</v>
      </c>
      <c r="N21" s="29">
        <v>0</v>
      </c>
      <c r="O21" s="25">
        <v>0</v>
      </c>
    </row>
    <row r="22" spans="3:15" x14ac:dyDescent="0.35">
      <c r="C22" s="37" t="s">
        <v>28</v>
      </c>
      <c r="D22" s="38" t="s">
        <v>25</v>
      </c>
      <c r="E22" s="39" t="s">
        <v>16</v>
      </c>
      <c r="F22" s="27">
        <v>0</v>
      </c>
      <c r="G22" s="27">
        <v>0</v>
      </c>
      <c r="H22" s="28">
        <f t="shared" si="3"/>
        <v>0</v>
      </c>
      <c r="I22" s="28">
        <f t="shared" si="4"/>
        <v>0</v>
      </c>
      <c r="J22" s="25">
        <v>0</v>
      </c>
      <c r="K22" s="29">
        <v>0</v>
      </c>
      <c r="L22" s="25">
        <v>0</v>
      </c>
      <c r="M22" s="31">
        <f t="shared" si="5"/>
        <v>33969</v>
      </c>
      <c r="N22" s="29">
        <v>0</v>
      </c>
      <c r="O22" s="25">
        <v>15000</v>
      </c>
    </row>
    <row r="23" spans="3:15" x14ac:dyDescent="0.35">
      <c r="C23" s="40" t="s">
        <v>22</v>
      </c>
      <c r="D23" s="40"/>
      <c r="E23" s="40"/>
      <c r="F23" s="31">
        <f t="shared" ref="F23:L23" si="6">SUM(F21:F22)</f>
        <v>0</v>
      </c>
      <c r="G23" s="31">
        <f t="shared" si="6"/>
        <v>0</v>
      </c>
      <c r="H23" s="31">
        <f t="shared" si="6"/>
        <v>0</v>
      </c>
      <c r="I23" s="31">
        <f t="shared" si="6"/>
        <v>0</v>
      </c>
      <c r="J23" s="31">
        <f t="shared" si="6"/>
        <v>0</v>
      </c>
      <c r="K23" s="31">
        <f>SUM(K21:K22)</f>
        <v>0</v>
      </c>
      <c r="L23" s="31">
        <f t="shared" si="6"/>
        <v>0</v>
      </c>
      <c r="M23" s="31">
        <f>SUM(M21:M22)</f>
        <v>67938</v>
      </c>
      <c r="N23" s="31">
        <f t="shared" ref="N23:O23" si="7">SUM(N21:N22)</f>
        <v>0</v>
      </c>
      <c r="O23" s="31">
        <f t="shared" si="7"/>
        <v>15000</v>
      </c>
    </row>
    <row r="24" spans="3:15" x14ac:dyDescent="0.35">
      <c r="C24" s="37" t="s">
        <v>30</v>
      </c>
      <c r="D24" s="38" t="s">
        <v>29</v>
      </c>
      <c r="E24" s="39" t="s">
        <v>16</v>
      </c>
      <c r="F24" s="32">
        <v>0</v>
      </c>
      <c r="G24" s="32">
        <v>0</v>
      </c>
      <c r="H24" s="28">
        <f t="shared" si="3"/>
        <v>0</v>
      </c>
      <c r="I24" s="28">
        <f t="shared" si="4"/>
        <v>0</v>
      </c>
      <c r="J24" s="33">
        <v>0</v>
      </c>
      <c r="K24" s="34">
        <v>0</v>
      </c>
      <c r="L24" s="33">
        <v>0</v>
      </c>
      <c r="M24" s="32">
        <f>'04-03-2026'!J80</f>
        <v>89658</v>
      </c>
      <c r="N24" s="34">
        <v>0</v>
      </c>
      <c r="O24" s="33">
        <v>0</v>
      </c>
    </row>
    <row r="25" spans="3:15" x14ac:dyDescent="0.35">
      <c r="C25" s="37" t="s">
        <v>30</v>
      </c>
      <c r="D25" s="38" t="s">
        <v>31</v>
      </c>
      <c r="E25" s="39" t="s">
        <v>16</v>
      </c>
      <c r="F25" s="32">
        <v>0</v>
      </c>
      <c r="G25" s="32">
        <v>0</v>
      </c>
      <c r="H25" s="28">
        <f t="shared" si="3"/>
        <v>0</v>
      </c>
      <c r="I25" s="28">
        <f t="shared" si="4"/>
        <v>0</v>
      </c>
      <c r="J25" s="33">
        <v>0</v>
      </c>
      <c r="K25" s="34">
        <v>0</v>
      </c>
      <c r="L25" s="33">
        <v>0</v>
      </c>
      <c r="M25" s="32">
        <f>'04-03-2026'!J81</f>
        <v>42000</v>
      </c>
      <c r="N25" s="34">
        <v>0</v>
      </c>
      <c r="O25" s="33">
        <v>25000</v>
      </c>
    </row>
    <row r="26" spans="3:15" x14ac:dyDescent="0.35">
      <c r="C26" s="40" t="s">
        <v>22</v>
      </c>
      <c r="D26" s="40"/>
      <c r="E26" s="40"/>
      <c r="F26" s="31">
        <f>SUM(F24:F25)</f>
        <v>0</v>
      </c>
      <c r="G26" s="31">
        <f t="shared" ref="G26:O26" si="8">SUM(G24:G25)</f>
        <v>0</v>
      </c>
      <c r="H26" s="31">
        <f t="shared" si="8"/>
        <v>0</v>
      </c>
      <c r="I26" s="31">
        <f t="shared" si="8"/>
        <v>0</v>
      </c>
      <c r="J26" s="31">
        <f t="shared" si="8"/>
        <v>0</v>
      </c>
      <c r="K26" s="31">
        <f t="shared" si="8"/>
        <v>0</v>
      </c>
      <c r="L26" s="31">
        <f t="shared" si="8"/>
        <v>0</v>
      </c>
      <c r="M26" s="31">
        <f t="shared" si="8"/>
        <v>131658</v>
      </c>
      <c r="N26" s="31">
        <f t="shared" si="8"/>
        <v>0</v>
      </c>
      <c r="O26" s="31">
        <f t="shared" si="8"/>
        <v>25000</v>
      </c>
    </row>
    <row r="27" spans="3:15" x14ac:dyDescent="0.35">
      <c r="C27" s="37" t="s">
        <v>32</v>
      </c>
      <c r="D27" s="38" t="s">
        <v>33</v>
      </c>
      <c r="E27" s="39" t="s">
        <v>97</v>
      </c>
      <c r="F27" s="35">
        <v>24297</v>
      </c>
      <c r="G27" s="27">
        <v>0</v>
      </c>
      <c r="H27" s="28">
        <f t="shared" si="3"/>
        <v>24297</v>
      </c>
      <c r="I27" s="28">
        <f t="shared" si="4"/>
        <v>24297</v>
      </c>
      <c r="J27" s="25">
        <v>0</v>
      </c>
      <c r="K27" s="29">
        <v>0</v>
      </c>
      <c r="L27" s="25">
        <v>0</v>
      </c>
      <c r="M27" s="27">
        <f>'04-03-2026'!J68</f>
        <v>1466110</v>
      </c>
      <c r="N27" s="29">
        <v>0</v>
      </c>
      <c r="O27" s="25">
        <v>39872</v>
      </c>
    </row>
    <row r="28" spans="3:15" x14ac:dyDescent="0.35">
      <c r="C28" s="37" t="s">
        <v>32</v>
      </c>
      <c r="D28" s="38" t="s">
        <v>31</v>
      </c>
      <c r="E28" s="39" t="s">
        <v>16</v>
      </c>
      <c r="F28" s="35">
        <v>0</v>
      </c>
      <c r="G28" s="27">
        <v>0</v>
      </c>
      <c r="H28" s="28">
        <f t="shared" si="3"/>
        <v>0</v>
      </c>
      <c r="I28" s="28">
        <f t="shared" si="4"/>
        <v>0</v>
      </c>
      <c r="J28" s="25">
        <v>0</v>
      </c>
      <c r="K28" s="29">
        <v>0</v>
      </c>
      <c r="L28" s="25">
        <v>0</v>
      </c>
      <c r="M28" s="27">
        <f>'04-03-2026'!J69</f>
        <v>174473</v>
      </c>
      <c r="N28" s="29">
        <v>0</v>
      </c>
      <c r="O28" s="25">
        <v>0</v>
      </c>
    </row>
    <row r="29" spans="3:15" x14ac:dyDescent="0.35">
      <c r="C29" s="37" t="s">
        <v>32</v>
      </c>
      <c r="D29" s="38" t="s">
        <v>26</v>
      </c>
      <c r="E29" s="39" t="s">
        <v>16</v>
      </c>
      <c r="F29" s="35">
        <v>0</v>
      </c>
      <c r="G29" s="27">
        <v>0</v>
      </c>
      <c r="H29" s="28">
        <f t="shared" si="3"/>
        <v>0</v>
      </c>
      <c r="I29" s="28">
        <f t="shared" si="4"/>
        <v>0</v>
      </c>
      <c r="J29" s="25">
        <v>0</v>
      </c>
      <c r="K29" s="29">
        <v>0</v>
      </c>
      <c r="L29" s="25">
        <v>0</v>
      </c>
      <c r="M29" s="27">
        <f>'04-03-2026'!J70</f>
        <v>35126</v>
      </c>
      <c r="N29" s="29">
        <v>0</v>
      </c>
      <c r="O29" s="25">
        <v>0</v>
      </c>
    </row>
    <row r="30" spans="3:15" x14ac:dyDescent="0.35">
      <c r="C30" s="37" t="s">
        <v>32</v>
      </c>
      <c r="D30" s="38" t="s">
        <v>34</v>
      </c>
      <c r="E30" s="39" t="s">
        <v>86</v>
      </c>
      <c r="F30" s="35">
        <v>32354</v>
      </c>
      <c r="G30" s="27">
        <v>0</v>
      </c>
      <c r="H30" s="28">
        <f t="shared" si="3"/>
        <v>32354</v>
      </c>
      <c r="I30" s="28">
        <f t="shared" si="4"/>
        <v>31931</v>
      </c>
      <c r="J30" s="25">
        <v>423</v>
      </c>
      <c r="K30" s="29">
        <v>0</v>
      </c>
      <c r="L30" s="25">
        <v>500</v>
      </c>
      <c r="M30" s="27">
        <f>'04-03-2026'!J71</f>
        <v>1385997</v>
      </c>
      <c r="N30" s="29">
        <v>0</v>
      </c>
      <c r="O30" s="25">
        <v>71326</v>
      </c>
    </row>
    <row r="31" spans="3:15" x14ac:dyDescent="0.35">
      <c r="C31" s="40" t="s">
        <v>22</v>
      </c>
      <c r="D31" s="40"/>
      <c r="E31" s="40"/>
      <c r="F31" s="31">
        <f>SUM(F27:F30)</f>
        <v>56651</v>
      </c>
      <c r="G31" s="31">
        <f t="shared" ref="G31:O31" si="9">SUM(G27:G30)</f>
        <v>0</v>
      </c>
      <c r="H31" s="31">
        <f t="shared" si="9"/>
        <v>56651</v>
      </c>
      <c r="I31" s="31">
        <f t="shared" si="9"/>
        <v>56228</v>
      </c>
      <c r="J31" s="31">
        <f t="shared" si="9"/>
        <v>423</v>
      </c>
      <c r="K31" s="31">
        <f t="shared" si="9"/>
        <v>0</v>
      </c>
      <c r="L31" s="31">
        <f t="shared" si="9"/>
        <v>500</v>
      </c>
      <c r="M31" s="31">
        <f t="shared" si="9"/>
        <v>3061706</v>
      </c>
      <c r="N31" s="31">
        <f t="shared" si="9"/>
        <v>0</v>
      </c>
      <c r="O31" s="31">
        <f t="shared" si="9"/>
        <v>111198</v>
      </c>
    </row>
    <row r="32" spans="3:15" x14ac:dyDescent="0.35">
      <c r="C32" s="41" t="s">
        <v>35</v>
      </c>
      <c r="D32" s="41"/>
      <c r="E32" s="41"/>
      <c r="F32" s="36">
        <f t="shared" ref="F32:O32" si="10">F31+F26+F23+F20+F18+F11</f>
        <v>647059</v>
      </c>
      <c r="G32" s="36">
        <f t="shared" si="10"/>
        <v>13925</v>
      </c>
      <c r="H32" s="36">
        <f t="shared" si="10"/>
        <v>633134</v>
      </c>
      <c r="I32" s="36">
        <f t="shared" si="10"/>
        <v>537770</v>
      </c>
      <c r="J32" s="36">
        <f t="shared" si="10"/>
        <v>95364</v>
      </c>
      <c r="K32" s="36">
        <f t="shared" si="10"/>
        <v>0</v>
      </c>
      <c r="L32" s="36">
        <f t="shared" si="10"/>
        <v>500</v>
      </c>
      <c r="M32" s="36">
        <f t="shared" si="10"/>
        <v>13558966</v>
      </c>
      <c r="N32" s="36">
        <f t="shared" si="10"/>
        <v>0</v>
      </c>
      <c r="O32" s="36">
        <f t="shared" si="10"/>
        <v>730865</v>
      </c>
    </row>
    <row r="33" spans="3:15" x14ac:dyDescent="0.35">
      <c r="F33" s="49" t="s">
        <v>36</v>
      </c>
      <c r="G33" s="25">
        <f>O11+L11+J11-K11</f>
        <v>413208</v>
      </c>
      <c r="H33" s="200"/>
      <c r="I33" s="201"/>
      <c r="J33" s="50"/>
      <c r="K33" s="51"/>
      <c r="L33" s="51"/>
    </row>
    <row r="34" spans="3:15" x14ac:dyDescent="0.35">
      <c r="F34" s="52" t="s">
        <v>37</v>
      </c>
      <c r="G34" s="25">
        <f>O18+L18+J18-K18+O20+L20+J20-K20</f>
        <v>261400</v>
      </c>
      <c r="H34" s="53"/>
      <c r="I34" s="54" t="s">
        <v>89</v>
      </c>
      <c r="J34" s="54" t="s">
        <v>90</v>
      </c>
      <c r="K34" s="192" t="s">
        <v>88</v>
      </c>
      <c r="L34" s="193"/>
      <c r="M34" s="202" t="s">
        <v>87</v>
      </c>
      <c r="N34" s="203"/>
      <c r="O34" s="204"/>
    </row>
    <row r="35" spans="3:15" x14ac:dyDescent="0.35">
      <c r="C35" s="205" t="s">
        <v>68</v>
      </c>
      <c r="D35" s="206"/>
      <c r="F35" s="55" t="s">
        <v>38</v>
      </c>
      <c r="G35" s="25">
        <f>O23+L23+J23-K23</f>
        <v>15000</v>
      </c>
      <c r="H35" s="53"/>
      <c r="I35" s="54"/>
      <c r="J35" s="57"/>
      <c r="K35" s="192"/>
      <c r="L35" s="193"/>
      <c r="M35" s="59"/>
      <c r="N35" s="58"/>
      <c r="O35" s="60"/>
    </row>
    <row r="36" spans="3:15" x14ac:dyDescent="0.35">
      <c r="C36" s="61"/>
      <c r="D36" s="61"/>
      <c r="F36" s="62" t="s">
        <v>30</v>
      </c>
      <c r="G36" s="25">
        <f>O26+L26+J26-K26</f>
        <v>25000</v>
      </c>
      <c r="H36" s="53"/>
      <c r="I36" s="56"/>
      <c r="J36" s="57"/>
      <c r="K36" s="192"/>
      <c r="L36" s="193"/>
      <c r="M36" s="59"/>
      <c r="N36" s="58"/>
      <c r="O36" s="60"/>
    </row>
    <row r="37" spans="3:15" x14ac:dyDescent="0.35">
      <c r="C37" s="61"/>
      <c r="D37" s="61"/>
      <c r="F37" s="49" t="s">
        <v>39</v>
      </c>
      <c r="G37" s="25">
        <f>O31+L31+J31-K31</f>
        <v>112121</v>
      </c>
      <c r="H37" s="53"/>
      <c r="I37" s="56"/>
      <c r="J37" s="57"/>
      <c r="K37" s="192"/>
      <c r="L37" s="193"/>
      <c r="M37" s="59"/>
      <c r="N37" s="58"/>
      <c r="O37" s="60"/>
    </row>
    <row r="38" spans="3:15" x14ac:dyDescent="0.35">
      <c r="C38" s="61"/>
      <c r="D38" s="61"/>
      <c r="F38" s="63" t="s">
        <v>40</v>
      </c>
      <c r="G38" s="26">
        <f>SUM(G33:G37)</f>
        <v>826729</v>
      </c>
      <c r="I38" s="61"/>
      <c r="J38" s="57"/>
      <c r="K38" s="192"/>
      <c r="L38" s="193"/>
      <c r="M38" s="59"/>
      <c r="N38" s="58"/>
      <c r="O38" s="60"/>
    </row>
    <row r="39" spans="3:15" x14ac:dyDescent="0.35">
      <c r="C39" s="61"/>
      <c r="D39" s="61"/>
      <c r="F39" s="64"/>
      <c r="G39" s="65"/>
      <c r="I39" s="61"/>
      <c r="J39" s="57"/>
      <c r="K39" s="192"/>
      <c r="L39" s="193"/>
      <c r="M39" s="59"/>
      <c r="N39" s="58"/>
      <c r="O39" s="60"/>
    </row>
    <row r="40" spans="3:15" x14ac:dyDescent="0.35">
      <c r="C40" s="61"/>
      <c r="D40" s="61"/>
      <c r="F40" s="64"/>
      <c r="G40" s="65"/>
      <c r="I40" s="61"/>
      <c r="J40" s="57"/>
      <c r="K40" s="58"/>
      <c r="L40" s="58"/>
      <c r="M40" s="59"/>
      <c r="N40" s="58"/>
      <c r="O40" s="60"/>
    </row>
    <row r="41" spans="3:15" x14ac:dyDescent="0.35">
      <c r="C41" s="61"/>
      <c r="D41" s="61"/>
      <c r="F41" s="64"/>
      <c r="G41" s="65"/>
      <c r="I41" s="61"/>
      <c r="J41" s="57"/>
      <c r="K41" s="58"/>
      <c r="L41" s="58"/>
      <c r="M41" s="59"/>
      <c r="N41" s="58"/>
      <c r="O41" s="60"/>
    </row>
    <row r="42" spans="3:15" x14ac:dyDescent="0.35">
      <c r="C42" s="61"/>
      <c r="D42" s="61"/>
      <c r="F42" s="64"/>
      <c r="G42" s="65"/>
      <c r="I42" s="61"/>
      <c r="J42" s="57"/>
      <c r="K42" s="58"/>
      <c r="L42" s="58"/>
      <c r="M42" s="59"/>
      <c r="N42" s="58"/>
      <c r="O42" s="60"/>
    </row>
    <row r="43" spans="3:15" x14ac:dyDescent="0.35">
      <c r="C43" s="61"/>
      <c r="D43" s="61"/>
      <c r="F43" s="64"/>
      <c r="G43" s="65"/>
      <c r="I43" s="61"/>
      <c r="J43" s="57"/>
      <c r="K43" s="191"/>
      <c r="L43" s="193"/>
      <c r="M43" s="191"/>
      <c r="N43" s="192"/>
      <c r="O43" s="193"/>
    </row>
    <row r="44" spans="3:15" x14ac:dyDescent="0.35">
      <c r="C44" s="61"/>
      <c r="D44" s="61"/>
      <c r="F44" s="64"/>
      <c r="G44" s="65"/>
      <c r="I44" s="61"/>
      <c r="J44" s="54"/>
      <c r="K44" s="191"/>
      <c r="L44" s="193"/>
      <c r="M44" s="191"/>
      <c r="N44" s="192"/>
      <c r="O44" s="193"/>
    </row>
    <row r="45" spans="3:15" x14ac:dyDescent="0.35">
      <c r="C45" s="61"/>
      <c r="D45" s="61"/>
      <c r="F45" s="64"/>
      <c r="G45" s="65"/>
      <c r="I45" s="61"/>
      <c r="J45" s="54"/>
      <c r="K45" s="191"/>
      <c r="L45" s="193"/>
      <c r="M45" s="191"/>
      <c r="N45" s="192"/>
      <c r="O45" s="193"/>
    </row>
    <row r="46" spans="3:15" x14ac:dyDescent="0.35">
      <c r="C46" s="61"/>
      <c r="D46" s="61"/>
      <c r="F46" s="64"/>
      <c r="G46" s="65"/>
      <c r="I46" s="61"/>
      <c r="J46" s="54"/>
      <c r="K46" s="191"/>
      <c r="L46" s="193"/>
      <c r="M46" s="191"/>
      <c r="N46" s="192"/>
      <c r="O46" s="193"/>
    </row>
    <row r="47" spans="3:15" x14ac:dyDescent="0.35">
      <c r="C47" s="61"/>
      <c r="D47" s="61"/>
      <c r="F47" s="64"/>
      <c r="G47" s="65"/>
      <c r="I47" s="61"/>
      <c r="J47" s="54"/>
      <c r="K47" s="191"/>
      <c r="L47" s="193"/>
      <c r="M47" s="191"/>
      <c r="N47" s="192"/>
      <c r="O47" s="193"/>
    </row>
    <row r="48" spans="3:15" x14ac:dyDescent="0.35">
      <c r="H48" s="209" t="s">
        <v>41</v>
      </c>
      <c r="I48" s="209"/>
      <c r="J48" s="209"/>
      <c r="K48" s="210"/>
      <c r="L48" s="46"/>
      <c r="M48" s="66"/>
    </row>
    <row r="49" spans="3:14" x14ac:dyDescent="0.35">
      <c r="H49" s="67" t="s">
        <v>42</v>
      </c>
      <c r="I49" s="67" t="s">
        <v>43</v>
      </c>
      <c r="J49" s="67" t="s">
        <v>44</v>
      </c>
      <c r="K49" s="210"/>
      <c r="L49" s="66"/>
    </row>
    <row r="50" spans="3:14" x14ac:dyDescent="0.35">
      <c r="F50" s="68"/>
      <c r="H50" s="42" t="s">
        <v>14</v>
      </c>
      <c r="I50" s="42" t="s">
        <v>15</v>
      </c>
      <c r="J50" s="68">
        <f>M5-O5-N5-L5+I5</f>
        <v>322198</v>
      </c>
      <c r="K50" s="69">
        <v>359515</v>
      </c>
      <c r="L50" s="70">
        <f>J50-K50</f>
        <v>-37317</v>
      </c>
      <c r="M50" s="68"/>
    </row>
    <row r="51" spans="3:14" x14ac:dyDescent="0.35">
      <c r="C51" s="211">
        <v>45931</v>
      </c>
      <c r="D51" s="211"/>
      <c r="E51" s="211"/>
      <c r="H51" s="42" t="s">
        <v>14</v>
      </c>
      <c r="I51" s="42" t="s">
        <v>17</v>
      </c>
      <c r="J51" s="68">
        <f>M6-O6-N6-L6+I6+G51</f>
        <v>3380101</v>
      </c>
      <c r="K51" s="69">
        <v>3301305</v>
      </c>
      <c r="L51" s="70">
        <f t="shared" ref="L51:L62" si="11">J51-K51</f>
        <v>78796</v>
      </c>
      <c r="M51" s="68"/>
    </row>
    <row r="52" spans="3:14" x14ac:dyDescent="0.35">
      <c r="C52" s="212" t="s">
        <v>63</v>
      </c>
      <c r="D52" s="212"/>
      <c r="E52" s="212"/>
      <c r="H52" s="42" t="s">
        <v>14</v>
      </c>
      <c r="I52" s="42" t="s">
        <v>18</v>
      </c>
      <c r="J52" s="68">
        <f>M7-O7-N7-L7+I7+G52</f>
        <v>1226906</v>
      </c>
      <c r="K52" s="69">
        <v>1158224</v>
      </c>
      <c r="L52" s="70">
        <f t="shared" si="11"/>
        <v>68682</v>
      </c>
      <c r="M52" s="68"/>
    </row>
    <row r="53" spans="3:14" x14ac:dyDescent="0.35">
      <c r="C53" s="61" t="s">
        <v>64</v>
      </c>
      <c r="D53" s="213">
        <f>'Opening Balance FEB 2026'!J4</f>
        <v>1308640</v>
      </c>
      <c r="E53" s="214"/>
      <c r="H53" s="42" t="s">
        <v>14</v>
      </c>
      <c r="I53" s="42" t="s">
        <v>19</v>
      </c>
      <c r="J53" s="68">
        <f>M8-O8-N8-L8+I8+G53</f>
        <v>874566</v>
      </c>
      <c r="K53" s="69">
        <v>847025</v>
      </c>
      <c r="L53" s="70">
        <f t="shared" si="11"/>
        <v>27541</v>
      </c>
      <c r="M53" s="68"/>
    </row>
    <row r="54" spans="3:14" x14ac:dyDescent="0.35">
      <c r="C54" s="61" t="s">
        <v>65</v>
      </c>
      <c r="D54" s="213">
        <f>G38</f>
        <v>826729</v>
      </c>
      <c r="E54" s="214"/>
      <c r="H54" s="42" t="s">
        <v>14</v>
      </c>
      <c r="I54" s="42" t="s">
        <v>20</v>
      </c>
      <c r="J54" s="68">
        <f>M9-O9-N9-L9+I9+G54</f>
        <v>1306274</v>
      </c>
      <c r="K54" s="69">
        <v>1242441</v>
      </c>
      <c r="L54" s="70">
        <f t="shared" si="11"/>
        <v>63833</v>
      </c>
      <c r="M54" s="68"/>
    </row>
    <row r="55" spans="3:14" x14ac:dyDescent="0.35">
      <c r="C55" s="71" t="s">
        <v>45</v>
      </c>
      <c r="D55" s="215">
        <f>D53+D54</f>
        <v>2135369</v>
      </c>
      <c r="E55" s="216"/>
      <c r="H55" s="42" t="s">
        <v>14</v>
      </c>
      <c r="I55" s="42" t="s">
        <v>21</v>
      </c>
      <c r="J55" s="68">
        <f>M10-O10-N10-L10+I10+G55</f>
        <v>449727</v>
      </c>
      <c r="K55" s="69">
        <v>455091</v>
      </c>
      <c r="L55" s="70">
        <f t="shared" si="11"/>
        <v>-5364</v>
      </c>
    </row>
    <row r="56" spans="3:14" x14ac:dyDescent="0.35">
      <c r="C56" s="61" t="s">
        <v>66</v>
      </c>
      <c r="D56" s="207">
        <v>0</v>
      </c>
      <c r="E56" s="208"/>
      <c r="H56" s="72" t="s">
        <v>45</v>
      </c>
      <c r="I56" s="72"/>
      <c r="J56" s="73">
        <f>SUM(J50:J55)</f>
        <v>7559772</v>
      </c>
      <c r="K56" s="74">
        <v>7617885</v>
      </c>
      <c r="L56" s="70">
        <f t="shared" si="11"/>
        <v>-58113</v>
      </c>
    </row>
    <row r="57" spans="3:14" x14ac:dyDescent="0.35">
      <c r="C57" s="61" t="s">
        <v>78</v>
      </c>
      <c r="D57" s="207">
        <v>0</v>
      </c>
      <c r="E57" s="208"/>
      <c r="H57" s="72"/>
      <c r="I57" s="72"/>
      <c r="J57" s="73"/>
      <c r="K57" s="75"/>
      <c r="L57" s="70"/>
    </row>
    <row r="58" spans="3:14" x14ac:dyDescent="0.35">
      <c r="C58" s="61" t="s">
        <v>75</v>
      </c>
      <c r="D58" s="207">
        <v>10000</v>
      </c>
      <c r="E58" s="208"/>
      <c r="H58" s="67" t="s">
        <v>42</v>
      </c>
      <c r="I58" s="67" t="s">
        <v>43</v>
      </c>
      <c r="J58" s="67" t="s">
        <v>44</v>
      </c>
      <c r="K58" s="66"/>
      <c r="L58" s="70"/>
    </row>
    <row r="59" spans="3:14" x14ac:dyDescent="0.35">
      <c r="C59" s="76" t="s">
        <v>83</v>
      </c>
      <c r="D59" s="217">
        <f>SUM(D56:E58)</f>
        <v>10000</v>
      </c>
      <c r="E59" s="218"/>
      <c r="H59" s="42" t="s">
        <v>46</v>
      </c>
      <c r="I59" s="42" t="s">
        <v>48</v>
      </c>
      <c r="J59" s="68">
        <f>M12-O12-N12-L12+I12</f>
        <v>486150</v>
      </c>
      <c r="K59" s="69">
        <v>282651</v>
      </c>
      <c r="L59" s="70">
        <f t="shared" si="11"/>
        <v>203499</v>
      </c>
    </row>
    <row r="60" spans="3:14" x14ac:dyDescent="0.35">
      <c r="C60" s="77" t="s">
        <v>67</v>
      </c>
      <c r="D60" s="219">
        <f>D55-D56-D58-D57</f>
        <v>2125369</v>
      </c>
      <c r="E60" s="220"/>
      <c r="H60" s="42" t="s">
        <v>46</v>
      </c>
      <c r="I60" s="42" t="s">
        <v>47</v>
      </c>
      <c r="J60" s="68">
        <f>M13-O13-N13-L13+I13+I14</f>
        <v>1586748</v>
      </c>
      <c r="K60" s="69">
        <v>1508814</v>
      </c>
      <c r="L60" s="70">
        <f t="shared" si="11"/>
        <v>77934</v>
      </c>
      <c r="N60" s="68"/>
    </row>
    <row r="61" spans="3:14" x14ac:dyDescent="0.35">
      <c r="C61" s="78" t="s">
        <v>68</v>
      </c>
      <c r="D61" s="221"/>
      <c r="E61" s="222"/>
      <c r="H61" s="42" t="s">
        <v>46</v>
      </c>
      <c r="I61" s="42" t="s">
        <v>15</v>
      </c>
      <c r="J61" s="68">
        <f>M15-O15-N15-L15+I15</f>
        <v>515612</v>
      </c>
      <c r="K61" s="69">
        <v>612306</v>
      </c>
      <c r="L61" s="70">
        <f t="shared" si="11"/>
        <v>-96694</v>
      </c>
      <c r="M61" s="68"/>
      <c r="N61" s="68"/>
    </row>
    <row r="62" spans="3:14" x14ac:dyDescent="0.35">
      <c r="C62" s="61" t="s">
        <v>14</v>
      </c>
      <c r="D62" s="213">
        <v>0</v>
      </c>
      <c r="E62" s="214"/>
      <c r="H62" s="42" t="s">
        <v>46</v>
      </c>
      <c r="I62" s="42" t="s">
        <v>20</v>
      </c>
      <c r="J62" s="68">
        <v>8160</v>
      </c>
      <c r="K62" s="69">
        <v>8160</v>
      </c>
      <c r="L62" s="70">
        <f t="shared" si="11"/>
        <v>0</v>
      </c>
    </row>
    <row r="63" spans="3:14" x14ac:dyDescent="0.35">
      <c r="C63" s="61" t="s">
        <v>72</v>
      </c>
      <c r="D63" s="213">
        <v>0</v>
      </c>
      <c r="E63" s="214"/>
      <c r="H63" s="42" t="s">
        <v>27</v>
      </c>
      <c r="I63" s="42" t="s">
        <v>47</v>
      </c>
      <c r="J63" s="68">
        <f>M19-O19-N19-L19+I19</f>
        <v>51257</v>
      </c>
      <c r="K63" s="69">
        <v>51257</v>
      </c>
      <c r="L63" s="70">
        <f>J63-K63</f>
        <v>0</v>
      </c>
    </row>
    <row r="64" spans="3:14" x14ac:dyDescent="0.35">
      <c r="C64" s="61" t="s">
        <v>69</v>
      </c>
      <c r="D64" s="213">
        <v>0</v>
      </c>
      <c r="E64" s="214"/>
      <c r="H64" s="72" t="s">
        <v>45</v>
      </c>
      <c r="I64" s="72"/>
      <c r="J64" s="73">
        <f>SUM(J59:J63)</f>
        <v>2647927</v>
      </c>
      <c r="K64" s="69">
        <f>SUM(K59:K63)</f>
        <v>2463188</v>
      </c>
      <c r="L64" s="70">
        <f>J64-K64</f>
        <v>184739</v>
      </c>
    </row>
    <row r="65" spans="3:14" x14ac:dyDescent="0.35">
      <c r="C65" s="61" t="s">
        <v>70</v>
      </c>
      <c r="D65" s="213">
        <v>0</v>
      </c>
      <c r="E65" s="214"/>
      <c r="F65" s="68"/>
      <c r="H65" s="67" t="s">
        <v>42</v>
      </c>
      <c r="I65" s="67" t="s">
        <v>43</v>
      </c>
      <c r="J65" s="67" t="s">
        <v>44</v>
      </c>
    </row>
    <row r="66" spans="3:14" x14ac:dyDescent="0.35">
      <c r="C66" s="61" t="s">
        <v>71</v>
      </c>
      <c r="D66" s="213">
        <v>0</v>
      </c>
      <c r="E66" s="214"/>
      <c r="F66" s="79"/>
      <c r="G66" s="80"/>
      <c r="H66" s="42" t="s">
        <v>49</v>
      </c>
      <c r="I66" s="42" t="s">
        <v>51</v>
      </c>
      <c r="J66" s="68">
        <f>M27-O27-N27-L27+I27</f>
        <v>1450535</v>
      </c>
      <c r="K66" s="69">
        <v>1466110</v>
      </c>
      <c r="L66" s="70">
        <f t="shared" ref="L66:L72" si="12">J66-K66</f>
        <v>-15575</v>
      </c>
      <c r="N66" s="68"/>
    </row>
    <row r="67" spans="3:14" x14ac:dyDescent="0.35">
      <c r="C67" s="77" t="s">
        <v>73</v>
      </c>
      <c r="D67" s="219">
        <f>SUM(D62:D66)</f>
        <v>0</v>
      </c>
      <c r="E67" s="220"/>
      <c r="F67" s="68"/>
      <c r="H67" s="42" t="s">
        <v>49</v>
      </c>
      <c r="I67" s="42" t="s">
        <v>18</v>
      </c>
      <c r="J67" s="68">
        <f>M28-O28-N28-L28+I28</f>
        <v>174473</v>
      </c>
      <c r="K67" s="69">
        <v>174473</v>
      </c>
      <c r="L67" s="70">
        <f t="shared" si="12"/>
        <v>0</v>
      </c>
    </row>
    <row r="68" spans="3:14" x14ac:dyDescent="0.35">
      <c r="C68" s="81" t="s">
        <v>74</v>
      </c>
      <c r="D68" s="223">
        <f>D60-D67</f>
        <v>2125369</v>
      </c>
      <c r="E68" s="224"/>
      <c r="F68" s="68"/>
      <c r="H68" s="42" t="s">
        <v>49</v>
      </c>
      <c r="I68" s="42" t="s">
        <v>15</v>
      </c>
      <c r="J68" s="68">
        <f>M29-O29-N29-L29+I29</f>
        <v>35126</v>
      </c>
      <c r="K68" s="69">
        <v>35126</v>
      </c>
      <c r="L68" s="70">
        <f t="shared" si="12"/>
        <v>0</v>
      </c>
    </row>
    <row r="69" spans="3:14" x14ac:dyDescent="0.35">
      <c r="C69" s="61"/>
      <c r="D69" s="213">
        <v>3102990</v>
      </c>
      <c r="E69" s="214"/>
      <c r="H69" s="42" t="s">
        <v>49</v>
      </c>
      <c r="I69" s="42" t="s">
        <v>50</v>
      </c>
      <c r="J69" s="68">
        <f>M30-O30-N30-L30+I30+G69</f>
        <v>1346102</v>
      </c>
      <c r="K69" s="69">
        <v>1281692</v>
      </c>
      <c r="L69" s="70">
        <f t="shared" si="12"/>
        <v>64410</v>
      </c>
    </row>
    <row r="70" spans="3:14" x14ac:dyDescent="0.35">
      <c r="C70" s="61"/>
      <c r="D70" s="213">
        <f>D68-D69</f>
        <v>-977621</v>
      </c>
      <c r="E70" s="214"/>
      <c r="H70" s="42" t="s">
        <v>49</v>
      </c>
      <c r="I70" s="42" t="s">
        <v>20</v>
      </c>
      <c r="J70" s="68">
        <f>'Opening Balance FEB 2026'!F24</f>
        <v>66046</v>
      </c>
      <c r="K70" s="69">
        <v>96296</v>
      </c>
      <c r="L70" s="70">
        <f t="shared" si="12"/>
        <v>-30250</v>
      </c>
    </row>
    <row r="71" spans="3:14" x14ac:dyDescent="0.35">
      <c r="H71" s="42" t="s">
        <v>49</v>
      </c>
      <c r="I71" s="42" t="s">
        <v>47</v>
      </c>
      <c r="J71" s="68">
        <f>'Opening Balance FEB 2026'!F25</f>
        <v>23570</v>
      </c>
      <c r="K71" s="69">
        <v>23570</v>
      </c>
      <c r="L71" s="70">
        <f t="shared" si="12"/>
        <v>0</v>
      </c>
    </row>
    <row r="72" spans="3:14" x14ac:dyDescent="0.35">
      <c r="H72" s="72" t="s">
        <v>45</v>
      </c>
      <c r="I72" s="72"/>
      <c r="J72" s="73">
        <f>SUM(J66:J71)</f>
        <v>3095852</v>
      </c>
      <c r="K72" s="69">
        <v>3121102</v>
      </c>
      <c r="L72" s="70">
        <f t="shared" si="12"/>
        <v>-25250</v>
      </c>
      <c r="N72" s="68"/>
    </row>
    <row r="73" spans="3:14" x14ac:dyDescent="0.35">
      <c r="H73" s="67" t="s">
        <v>42</v>
      </c>
      <c r="I73" s="67" t="s">
        <v>43</v>
      </c>
      <c r="J73" s="67" t="s">
        <v>44</v>
      </c>
    </row>
    <row r="74" spans="3:14" x14ac:dyDescent="0.35">
      <c r="H74" s="42" t="s">
        <v>52</v>
      </c>
      <c r="I74" s="42" t="s">
        <v>53</v>
      </c>
      <c r="J74" s="68">
        <f>M21-O21-N21-L21+I21-G73</f>
        <v>33969</v>
      </c>
      <c r="K74" s="68">
        <v>33969</v>
      </c>
      <c r="L74" s="70">
        <f>J74-K74</f>
        <v>0</v>
      </c>
    </row>
    <row r="75" spans="3:14" x14ac:dyDescent="0.35">
      <c r="H75" s="42" t="s">
        <v>52</v>
      </c>
      <c r="I75" s="42" t="s">
        <v>47</v>
      </c>
      <c r="J75" s="68">
        <f>M22-O22-N22-L22+I22</f>
        <v>18969</v>
      </c>
      <c r="K75" s="82">
        <v>33969</v>
      </c>
      <c r="L75" s="70">
        <f>J75-K75</f>
        <v>-15000</v>
      </c>
    </row>
    <row r="76" spans="3:14" x14ac:dyDescent="0.35">
      <c r="H76" s="72" t="s">
        <v>45</v>
      </c>
      <c r="I76" s="72"/>
      <c r="J76" s="73">
        <f>SUM(J74:J75)</f>
        <v>52938</v>
      </c>
      <c r="K76" s="68">
        <v>160846</v>
      </c>
      <c r="L76" s="70">
        <f>J76-K76</f>
        <v>-107908</v>
      </c>
    </row>
    <row r="77" spans="3:14" x14ac:dyDescent="0.35">
      <c r="G77" s="42">
        <v>0</v>
      </c>
      <c r="H77" s="67" t="s">
        <v>42</v>
      </c>
      <c r="I77" s="67" t="s">
        <v>43</v>
      </c>
      <c r="J77" s="67" t="s">
        <v>44</v>
      </c>
      <c r="K77" s="69">
        <v>0</v>
      </c>
      <c r="L77" s="70"/>
    </row>
    <row r="78" spans="3:14" x14ac:dyDescent="0.35">
      <c r="H78" s="42" t="s">
        <v>54</v>
      </c>
      <c r="I78" s="42" t="s">
        <v>53</v>
      </c>
      <c r="J78" s="68">
        <f>M24-O24-N24-L24+I24-G77</f>
        <v>89658</v>
      </c>
      <c r="K78" s="69">
        <v>89658</v>
      </c>
      <c r="L78" s="70">
        <f>J78-K78</f>
        <v>0</v>
      </c>
    </row>
    <row r="79" spans="3:14" x14ac:dyDescent="0.35">
      <c r="H79" s="42" t="s">
        <v>54</v>
      </c>
      <c r="I79" s="42" t="s">
        <v>18</v>
      </c>
      <c r="J79" s="68">
        <f>M25-O25-N25-L25+I25</f>
        <v>17000</v>
      </c>
      <c r="K79" s="69">
        <v>67000</v>
      </c>
      <c r="L79" s="70">
        <f>J79-K79</f>
        <v>-50000</v>
      </c>
    </row>
    <row r="80" spans="3:14" x14ac:dyDescent="0.35">
      <c r="H80" s="72" t="s">
        <v>45</v>
      </c>
      <c r="I80" s="72"/>
      <c r="J80" s="73">
        <f>SUM(J78:J79)</f>
        <v>106658</v>
      </c>
      <c r="K80" s="68">
        <f>SUM(K77:K79)</f>
        <v>156658</v>
      </c>
      <c r="L80" s="70">
        <f>J80-K80</f>
        <v>-50000</v>
      </c>
    </row>
    <row r="81" spans="4:12" x14ac:dyDescent="0.35">
      <c r="H81" s="67" t="s">
        <v>42</v>
      </c>
      <c r="I81" s="67" t="s">
        <v>43</v>
      </c>
      <c r="J81" s="67" t="s">
        <v>44</v>
      </c>
      <c r="K81" s="69">
        <v>0</v>
      </c>
      <c r="L81" s="70"/>
    </row>
    <row r="82" spans="4:12" x14ac:dyDescent="0.35">
      <c r="H82" s="42" t="s">
        <v>55</v>
      </c>
      <c r="I82" s="42" t="s">
        <v>56</v>
      </c>
      <c r="J82" s="68">
        <f>'Opening Balance FEB 2026'!F36</f>
        <v>103541</v>
      </c>
      <c r="K82" s="69">
        <v>103541</v>
      </c>
      <c r="L82" s="70">
        <f>J82-K82</f>
        <v>0</v>
      </c>
    </row>
    <row r="83" spans="4:12" x14ac:dyDescent="0.35">
      <c r="H83" s="42" t="s">
        <v>55</v>
      </c>
      <c r="I83" s="42" t="s">
        <v>47</v>
      </c>
      <c r="J83" s="68">
        <f>'Opening Balance FEB 2026'!F37</f>
        <v>6013</v>
      </c>
      <c r="K83" s="69">
        <v>6013</v>
      </c>
      <c r="L83" s="70">
        <f>J83-K83</f>
        <v>0</v>
      </c>
    </row>
    <row r="84" spans="4:12" x14ac:dyDescent="0.35">
      <c r="H84" s="72" t="s">
        <v>45</v>
      </c>
      <c r="I84" s="72"/>
      <c r="J84" s="73">
        <v>109554</v>
      </c>
      <c r="K84" s="68">
        <f>SUM(K81:K83)</f>
        <v>109554</v>
      </c>
      <c r="L84" s="70">
        <f>J84-K84</f>
        <v>0</v>
      </c>
    </row>
    <row r="85" spans="4:12" x14ac:dyDescent="0.35">
      <c r="H85" s="67" t="s">
        <v>42</v>
      </c>
      <c r="I85" s="67" t="s">
        <v>43</v>
      </c>
      <c r="J85" s="67" t="s">
        <v>44</v>
      </c>
      <c r="K85" s="69">
        <v>0</v>
      </c>
      <c r="L85" s="70"/>
    </row>
    <row r="86" spans="4:12" x14ac:dyDescent="0.35">
      <c r="H86" s="42" t="s">
        <v>57</v>
      </c>
      <c r="I86" s="42" t="s">
        <v>47</v>
      </c>
      <c r="J86" s="68">
        <f>'Opening Balance FEB 2026'!F40</f>
        <v>16440</v>
      </c>
      <c r="K86" s="69">
        <v>16440</v>
      </c>
      <c r="L86" s="70">
        <f>J86-K86</f>
        <v>0</v>
      </c>
    </row>
    <row r="87" spans="4:12" x14ac:dyDescent="0.35">
      <c r="H87" s="72" t="s">
        <v>45</v>
      </c>
      <c r="I87" s="72"/>
      <c r="J87" s="73">
        <v>16440</v>
      </c>
      <c r="K87" s="69">
        <f>SUM(K85:K86)</f>
        <v>16440</v>
      </c>
    </row>
    <row r="88" spans="4:12" x14ac:dyDescent="0.35">
      <c r="J88" s="68"/>
    </row>
    <row r="89" spans="4:12" x14ac:dyDescent="0.35">
      <c r="H89" s="83" t="s">
        <v>58</v>
      </c>
      <c r="I89" s="83"/>
      <c r="J89" s="84">
        <f>J87+J84+J80+J76+J72+J64+J56</f>
        <v>13589141</v>
      </c>
    </row>
    <row r="91" spans="4:12" x14ac:dyDescent="0.35">
      <c r="D91" s="85" t="s">
        <v>82</v>
      </c>
      <c r="E91" s="85"/>
      <c r="F91" s="85"/>
      <c r="G91" s="85"/>
      <c r="H91" s="85"/>
    </row>
    <row r="92" spans="4:12" x14ac:dyDescent="0.35">
      <c r="D92" s="78" t="s">
        <v>42</v>
      </c>
      <c r="E92" s="78" t="s">
        <v>43</v>
      </c>
      <c r="F92" s="78" t="s">
        <v>79</v>
      </c>
      <c r="G92" s="78" t="s">
        <v>80</v>
      </c>
      <c r="H92" s="78" t="s">
        <v>81</v>
      </c>
    </row>
    <row r="93" spans="4:12" x14ac:dyDescent="0.35">
      <c r="D93" s="61" t="s">
        <v>14</v>
      </c>
      <c r="E93" s="61" t="s">
        <v>15</v>
      </c>
      <c r="F93" s="86">
        <f>H5</f>
        <v>17850</v>
      </c>
      <c r="G93" s="86">
        <f t="shared" ref="G93:G98" si="13">O5</f>
        <v>43102</v>
      </c>
      <c r="H93" s="86">
        <f t="shared" ref="H93:H98" si="14">I5</f>
        <v>17850</v>
      </c>
    </row>
    <row r="94" spans="4:12" x14ac:dyDescent="0.35">
      <c r="D94" s="61" t="s">
        <v>14</v>
      </c>
      <c r="E94" s="61" t="s">
        <v>17</v>
      </c>
      <c r="F94" s="86">
        <f>H6</f>
        <v>0</v>
      </c>
      <c r="G94" s="86">
        <f t="shared" si="13"/>
        <v>181758</v>
      </c>
      <c r="H94" s="86">
        <f t="shared" si="14"/>
        <v>0</v>
      </c>
    </row>
    <row r="95" spans="4:12" x14ac:dyDescent="0.35">
      <c r="D95" s="61" t="s">
        <v>14</v>
      </c>
      <c r="E95" s="61" t="s">
        <v>18</v>
      </c>
      <c r="F95" s="86">
        <f>H7</f>
        <v>104887</v>
      </c>
      <c r="G95" s="86">
        <f t="shared" si="13"/>
        <v>30060</v>
      </c>
      <c r="H95" s="86">
        <f t="shared" si="14"/>
        <v>98743</v>
      </c>
    </row>
    <row r="96" spans="4:12" x14ac:dyDescent="0.35">
      <c r="D96" s="61" t="s">
        <v>14</v>
      </c>
      <c r="E96" s="61" t="s">
        <v>19</v>
      </c>
      <c r="F96" s="86">
        <f>H8</f>
        <v>95706</v>
      </c>
      <c r="G96" s="86">
        <f t="shared" si="13"/>
        <v>58113</v>
      </c>
      <c r="H96" s="86">
        <f t="shared" si="14"/>
        <v>85686</v>
      </c>
    </row>
    <row r="97" spans="4:8" x14ac:dyDescent="0.35">
      <c r="D97" s="61" t="s">
        <v>14</v>
      </c>
      <c r="E97" s="61" t="s">
        <v>20</v>
      </c>
      <c r="F97" s="86">
        <f>H9</f>
        <v>90165</v>
      </c>
      <c r="G97" s="86">
        <f t="shared" si="13"/>
        <v>10625</v>
      </c>
      <c r="H97" s="86">
        <f t="shared" si="14"/>
        <v>74458</v>
      </c>
    </row>
    <row r="98" spans="4:8" x14ac:dyDescent="0.35">
      <c r="D98" s="61" t="s">
        <v>14</v>
      </c>
      <c r="E98" s="61" t="s">
        <v>21</v>
      </c>
      <c r="F98" s="86" t="e">
        <f>H10+#REF!</f>
        <v>#REF!</v>
      </c>
      <c r="G98" s="86">
        <f t="shared" si="13"/>
        <v>47952</v>
      </c>
      <c r="H98" s="86">
        <f t="shared" si="14"/>
        <v>42589</v>
      </c>
    </row>
    <row r="99" spans="4:8" x14ac:dyDescent="0.35">
      <c r="D99" s="87" t="s">
        <v>45</v>
      </c>
      <c r="E99" s="87"/>
      <c r="F99" s="88" t="e">
        <f>SUM(F93:F98)</f>
        <v>#REF!</v>
      </c>
      <c r="G99" s="88">
        <f t="shared" ref="G99" si="15">SUM(G93:G98)</f>
        <v>371610</v>
      </c>
      <c r="H99" s="88">
        <f>SUM(H93:H98)</f>
        <v>319326</v>
      </c>
    </row>
    <row r="100" spans="4:8" x14ac:dyDescent="0.35">
      <c r="D100" s="78" t="s">
        <v>42</v>
      </c>
      <c r="E100" s="78" t="s">
        <v>43</v>
      </c>
      <c r="F100" s="89" t="s">
        <v>79</v>
      </c>
      <c r="G100" s="89" t="s">
        <v>80</v>
      </c>
      <c r="H100" s="89" t="s">
        <v>81</v>
      </c>
    </row>
    <row r="101" spans="4:8" x14ac:dyDescent="0.35">
      <c r="D101" s="61" t="s">
        <v>46</v>
      </c>
      <c r="E101" s="61" t="s">
        <v>48</v>
      </c>
      <c r="F101" s="86">
        <f>H12</f>
        <v>50491</v>
      </c>
      <c r="G101" s="86">
        <f>O12</f>
        <v>12500</v>
      </c>
      <c r="H101" s="86">
        <f>I12</f>
        <v>21454</v>
      </c>
    </row>
    <row r="102" spans="4:8" x14ac:dyDescent="0.35">
      <c r="D102" s="61" t="s">
        <v>46</v>
      </c>
      <c r="E102" s="61" t="s">
        <v>47</v>
      </c>
      <c r="F102" s="86">
        <f>H13</f>
        <v>104692</v>
      </c>
      <c r="G102" s="86">
        <f>O13</f>
        <v>93480</v>
      </c>
      <c r="H102" s="86">
        <f>I13</f>
        <v>80386</v>
      </c>
    </row>
    <row r="103" spans="4:8" x14ac:dyDescent="0.35">
      <c r="D103" s="61" t="s">
        <v>27</v>
      </c>
      <c r="E103" s="61" t="s">
        <v>47</v>
      </c>
      <c r="F103" s="86">
        <v>0</v>
      </c>
      <c r="G103" s="86">
        <v>0</v>
      </c>
      <c r="H103" s="86">
        <v>0</v>
      </c>
    </row>
    <row r="104" spans="4:8" x14ac:dyDescent="0.35">
      <c r="D104" s="87" t="s">
        <v>45</v>
      </c>
      <c r="E104" s="87"/>
      <c r="F104" s="88">
        <f>SUM(F101:F103)</f>
        <v>155183</v>
      </c>
      <c r="G104" s="88">
        <f>SUM(G101:G103)</f>
        <v>105980</v>
      </c>
      <c r="H104" s="88">
        <f>SUM(H101:H103)</f>
        <v>101840</v>
      </c>
    </row>
    <row r="105" spans="4:8" x14ac:dyDescent="0.35">
      <c r="D105" s="78" t="s">
        <v>42</v>
      </c>
      <c r="E105" s="78" t="s">
        <v>43</v>
      </c>
      <c r="F105" s="89" t="s">
        <v>79</v>
      </c>
      <c r="G105" s="89" t="s">
        <v>80</v>
      </c>
      <c r="H105" s="89" t="s">
        <v>81</v>
      </c>
    </row>
    <row r="106" spans="4:8" x14ac:dyDescent="0.35">
      <c r="D106" s="61" t="s">
        <v>49</v>
      </c>
      <c r="E106" s="61" t="s">
        <v>51</v>
      </c>
      <c r="F106" s="86" t="e">
        <f>#REF!</f>
        <v>#REF!</v>
      </c>
      <c r="G106" s="86" t="e">
        <f>#REF!</f>
        <v>#REF!</v>
      </c>
      <c r="H106" s="86" t="e">
        <f>#REF!</f>
        <v>#REF!</v>
      </c>
    </row>
    <row r="107" spans="4:8" x14ac:dyDescent="0.35">
      <c r="D107" s="61" t="s">
        <v>49</v>
      </c>
      <c r="E107" s="61" t="s">
        <v>18</v>
      </c>
      <c r="F107" s="86">
        <f>H28</f>
        <v>0</v>
      </c>
      <c r="G107" s="86">
        <f>O28</f>
        <v>0</v>
      </c>
      <c r="H107" s="86">
        <v>0</v>
      </c>
    </row>
    <row r="108" spans="4:8" x14ac:dyDescent="0.35">
      <c r="D108" s="61" t="s">
        <v>49</v>
      </c>
      <c r="E108" s="61" t="s">
        <v>50</v>
      </c>
      <c r="F108" s="86" t="e">
        <f>#REF!+#REF!</f>
        <v>#REF!</v>
      </c>
      <c r="G108" s="86" t="e">
        <f>#REF!</f>
        <v>#REF!</v>
      </c>
      <c r="H108" s="86" t="e">
        <f>#REF!+#REF!</f>
        <v>#REF!</v>
      </c>
    </row>
    <row r="109" spans="4:8" x14ac:dyDescent="0.35">
      <c r="D109" s="87" t="s">
        <v>45</v>
      </c>
      <c r="E109" s="87"/>
      <c r="F109" s="88" t="e">
        <f>SUM(F106:F108)</f>
        <v>#REF!</v>
      </c>
      <c r="G109" s="88" t="e">
        <f>SUM(G106:G108)</f>
        <v>#REF!</v>
      </c>
      <c r="H109" s="88" t="e">
        <f>SUM(H106:H108)</f>
        <v>#REF!</v>
      </c>
    </row>
    <row r="110" spans="4:8" x14ac:dyDescent="0.35">
      <c r="D110" s="78" t="s">
        <v>42</v>
      </c>
      <c r="E110" s="78" t="s">
        <v>43</v>
      </c>
      <c r="F110" s="89" t="s">
        <v>79</v>
      </c>
      <c r="G110" s="89" t="s">
        <v>80</v>
      </c>
      <c r="H110" s="89" t="s">
        <v>81</v>
      </c>
    </row>
    <row r="111" spans="4:8" x14ac:dyDescent="0.35">
      <c r="D111" s="61" t="s">
        <v>52</v>
      </c>
      <c r="E111" s="61" t="s">
        <v>53</v>
      </c>
      <c r="F111" s="86">
        <f>H21</f>
        <v>0</v>
      </c>
      <c r="G111" s="86">
        <f>O21</f>
        <v>0</v>
      </c>
      <c r="H111" s="86">
        <f>I21</f>
        <v>0</v>
      </c>
    </row>
    <row r="112" spans="4:8" x14ac:dyDescent="0.35">
      <c r="D112" s="87" t="s">
        <v>45</v>
      </c>
      <c r="E112" s="87"/>
      <c r="F112" s="88">
        <f>SUM(F111)</f>
        <v>0</v>
      </c>
      <c r="G112" s="88">
        <f t="shared" ref="G112" si="16">SUM(G111)</f>
        <v>0</v>
      </c>
      <c r="H112" s="88">
        <f>SUM(H111)</f>
        <v>0</v>
      </c>
    </row>
    <row r="113" spans="4:8" x14ac:dyDescent="0.35">
      <c r="D113" s="78" t="s">
        <v>42</v>
      </c>
      <c r="E113" s="78" t="s">
        <v>43</v>
      </c>
      <c r="F113" s="89" t="s">
        <v>79</v>
      </c>
      <c r="G113" s="89" t="s">
        <v>80</v>
      </c>
      <c r="H113" s="89" t="s">
        <v>81</v>
      </c>
    </row>
    <row r="114" spans="4:8" x14ac:dyDescent="0.35">
      <c r="D114" s="61" t="s">
        <v>54</v>
      </c>
      <c r="E114" s="61" t="s">
        <v>53</v>
      </c>
      <c r="F114" s="86">
        <f>H24</f>
        <v>0</v>
      </c>
      <c r="G114" s="86">
        <f>O24</f>
        <v>0</v>
      </c>
      <c r="H114" s="86">
        <f>I24</f>
        <v>0</v>
      </c>
    </row>
    <row r="115" spans="4:8" x14ac:dyDescent="0.35">
      <c r="D115" s="61" t="s">
        <v>54</v>
      </c>
      <c r="E115" s="61" t="s">
        <v>18</v>
      </c>
      <c r="F115" s="86">
        <f>H25</f>
        <v>0</v>
      </c>
      <c r="G115" s="86">
        <f>O25</f>
        <v>25000</v>
      </c>
      <c r="H115" s="86">
        <f>I25</f>
        <v>0</v>
      </c>
    </row>
    <row r="116" spans="4:8" x14ac:dyDescent="0.35">
      <c r="D116" s="87" t="s">
        <v>45</v>
      </c>
      <c r="E116" s="87"/>
      <c r="F116" s="88">
        <f>SUM(F114:F115)</f>
        <v>0</v>
      </c>
      <c r="G116" s="88">
        <f t="shared" ref="G116" si="17">SUM(G114:G115)</f>
        <v>25000</v>
      </c>
      <c r="H116" s="88">
        <f>SUM(H114:H115)</f>
        <v>0</v>
      </c>
    </row>
    <row r="117" spans="4:8" x14ac:dyDescent="0.35">
      <c r="D117" s="90"/>
      <c r="E117" s="90"/>
      <c r="F117" s="91" t="e">
        <f>F116+F112+F109+F104+F99</f>
        <v>#REF!</v>
      </c>
      <c r="G117" s="91" t="e">
        <f t="shared" ref="G117" si="18">G116+G112+G109+G104+G99</f>
        <v>#REF!</v>
      </c>
      <c r="H117" s="91" t="e">
        <f>H116+H112+H109+H104+H99</f>
        <v>#REF!</v>
      </c>
    </row>
  </sheetData>
  <mergeCells count="43">
    <mergeCell ref="D70:E70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58:E58"/>
    <mergeCell ref="K47:L47"/>
    <mergeCell ref="M47:O47"/>
    <mergeCell ref="H48:J48"/>
    <mergeCell ref="K48:K49"/>
    <mergeCell ref="C51:E51"/>
    <mergeCell ref="C52:E52"/>
    <mergeCell ref="D53:E53"/>
    <mergeCell ref="D54:E54"/>
    <mergeCell ref="D55:E55"/>
    <mergeCell ref="D56:E56"/>
    <mergeCell ref="D57:E57"/>
    <mergeCell ref="K44:L44"/>
    <mergeCell ref="M44:O44"/>
    <mergeCell ref="K45:L45"/>
    <mergeCell ref="M45:O45"/>
    <mergeCell ref="K46:L46"/>
    <mergeCell ref="M46:O46"/>
    <mergeCell ref="M43:O43"/>
    <mergeCell ref="C2:O2"/>
    <mergeCell ref="C3:O3"/>
    <mergeCell ref="H33:I33"/>
    <mergeCell ref="K34:L34"/>
    <mergeCell ref="M34:O34"/>
    <mergeCell ref="C35:D35"/>
    <mergeCell ref="K35:L35"/>
    <mergeCell ref="K36:L36"/>
    <mergeCell ref="K37:L37"/>
    <mergeCell ref="K38:L38"/>
    <mergeCell ref="K39:L39"/>
    <mergeCell ref="K43:L43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7"/>
  <sheetViews>
    <sheetView topLeftCell="A7" zoomScale="60" zoomScaleNormal="60" workbookViewId="0">
      <selection activeCell="O13" sqref="O13"/>
    </sheetView>
  </sheetViews>
  <sheetFormatPr defaultRowHeight="21" x14ac:dyDescent="0.35"/>
  <cols>
    <col min="1" max="1" width="5.5703125" style="42" customWidth="1"/>
    <col min="2" max="2" width="0.140625" style="42" hidden="1" customWidth="1"/>
    <col min="3" max="3" width="20.85546875" style="42" customWidth="1"/>
    <col min="4" max="4" width="26.42578125" style="42" customWidth="1"/>
    <col min="5" max="5" width="18.140625" style="42" customWidth="1"/>
    <col min="6" max="6" width="20.85546875" style="42" customWidth="1"/>
    <col min="7" max="7" width="21" style="42" customWidth="1"/>
    <col min="8" max="8" width="22.85546875" style="42" customWidth="1"/>
    <col min="9" max="9" width="23.5703125" style="42" customWidth="1"/>
    <col min="10" max="10" width="21.42578125" style="42" customWidth="1"/>
    <col min="11" max="11" width="21.28515625" style="42" customWidth="1"/>
    <col min="12" max="12" width="22.5703125" style="42" customWidth="1"/>
    <col min="13" max="13" width="26.42578125" style="42" customWidth="1"/>
    <col min="14" max="14" width="17.5703125" style="42" customWidth="1"/>
    <col min="15" max="15" width="22" style="42" customWidth="1"/>
    <col min="16" max="16" width="7.5703125" style="42" customWidth="1"/>
    <col min="17" max="17" width="14.28515625" style="42" bestFit="1" customWidth="1"/>
    <col min="18" max="18" width="11.42578125" style="42" customWidth="1"/>
    <col min="19" max="16384" width="9.140625" style="42"/>
  </cols>
  <sheetData>
    <row r="2" spans="1:16" x14ac:dyDescent="0.35">
      <c r="C2" s="194">
        <v>46088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6"/>
    </row>
    <row r="3" spans="1:16" x14ac:dyDescent="0.35">
      <c r="C3" s="197" t="s">
        <v>0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6" ht="84" x14ac:dyDescent="0.35">
      <c r="A4" s="98"/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  <c r="J4" s="40" t="s">
        <v>8</v>
      </c>
      <c r="K4" s="43" t="s">
        <v>9</v>
      </c>
      <c r="L4" s="43" t="s">
        <v>10</v>
      </c>
      <c r="M4" s="44" t="s">
        <v>11</v>
      </c>
      <c r="N4" s="45" t="s">
        <v>12</v>
      </c>
      <c r="O4" s="40" t="s">
        <v>13</v>
      </c>
    </row>
    <row r="5" spans="1:16" x14ac:dyDescent="0.35">
      <c r="A5" s="46"/>
      <c r="C5" s="37" t="s">
        <v>14</v>
      </c>
      <c r="D5" s="38" t="s">
        <v>15</v>
      </c>
      <c r="E5" s="39" t="s">
        <v>86</v>
      </c>
      <c r="F5" s="27">
        <v>0</v>
      </c>
      <c r="G5" s="27">
        <v>0</v>
      </c>
      <c r="H5" s="28">
        <f>F5-G5</f>
        <v>0</v>
      </c>
      <c r="I5" s="28">
        <f>H5-J5</f>
        <v>0</v>
      </c>
      <c r="J5" s="25">
        <v>0</v>
      </c>
      <c r="K5" s="29">
        <v>0</v>
      </c>
      <c r="L5" s="25">
        <v>0</v>
      </c>
      <c r="M5" s="27">
        <f>'05-03-2026'!J50</f>
        <v>322198</v>
      </c>
      <c r="N5" s="29">
        <v>0</v>
      </c>
      <c r="O5" s="30">
        <v>0</v>
      </c>
      <c r="P5" s="47"/>
    </row>
    <row r="6" spans="1:16" x14ac:dyDescent="0.35">
      <c r="A6" s="46"/>
      <c r="C6" s="37" t="s">
        <v>14</v>
      </c>
      <c r="D6" s="38" t="s">
        <v>17</v>
      </c>
      <c r="E6" s="39" t="s">
        <v>86</v>
      </c>
      <c r="F6" s="27">
        <v>269459</v>
      </c>
      <c r="G6" s="27">
        <v>0</v>
      </c>
      <c r="H6" s="28">
        <f t="shared" ref="H6:H10" si="0">F6-G6</f>
        <v>269459</v>
      </c>
      <c r="I6" s="28">
        <f t="shared" ref="I6:I10" si="1">H6-J6</f>
        <v>262977</v>
      </c>
      <c r="J6" s="25">
        <v>6482</v>
      </c>
      <c r="K6" s="29">
        <v>0</v>
      </c>
      <c r="L6" s="25">
        <v>0</v>
      </c>
      <c r="M6" s="27">
        <f>'05-03-2026'!J51</f>
        <v>3380101</v>
      </c>
      <c r="N6" s="29">
        <v>0</v>
      </c>
      <c r="O6" s="30">
        <v>0</v>
      </c>
    </row>
    <row r="7" spans="1:16" x14ac:dyDescent="0.35">
      <c r="A7" s="46"/>
      <c r="C7" s="37" t="s">
        <v>14</v>
      </c>
      <c r="D7" s="38" t="s">
        <v>18</v>
      </c>
      <c r="E7" s="39" t="s">
        <v>97</v>
      </c>
      <c r="F7" s="27">
        <v>86320</v>
      </c>
      <c r="G7" s="27">
        <v>0</v>
      </c>
      <c r="H7" s="28">
        <f t="shared" si="0"/>
        <v>86320</v>
      </c>
      <c r="I7" s="28">
        <f t="shared" si="1"/>
        <v>63511</v>
      </c>
      <c r="J7" s="25">
        <v>22809</v>
      </c>
      <c r="K7" s="29">
        <v>0</v>
      </c>
      <c r="L7" s="25">
        <v>0</v>
      </c>
      <c r="M7" s="27">
        <f>'05-03-2026'!J52</f>
        <v>1226906</v>
      </c>
      <c r="N7" s="29">
        <v>0</v>
      </c>
      <c r="O7" s="30">
        <v>50318</v>
      </c>
    </row>
    <row r="8" spans="1:16" x14ac:dyDescent="0.35">
      <c r="A8" s="46"/>
      <c r="C8" s="37" t="s">
        <v>14</v>
      </c>
      <c r="D8" s="38" t="s">
        <v>19</v>
      </c>
      <c r="E8" s="39" t="s">
        <v>95</v>
      </c>
      <c r="F8" s="27">
        <v>100043</v>
      </c>
      <c r="G8" s="27">
        <v>0</v>
      </c>
      <c r="H8" s="28">
        <f t="shared" si="0"/>
        <v>100043</v>
      </c>
      <c r="I8" s="28">
        <f t="shared" si="1"/>
        <v>85722</v>
      </c>
      <c r="J8" s="25">
        <v>14321</v>
      </c>
      <c r="K8" s="29">
        <v>0</v>
      </c>
      <c r="L8" s="25">
        <v>0</v>
      </c>
      <c r="M8" s="27">
        <f>'05-03-2026'!J53</f>
        <v>874566</v>
      </c>
      <c r="N8" s="29">
        <v>0</v>
      </c>
      <c r="O8" s="30">
        <v>57269</v>
      </c>
    </row>
    <row r="9" spans="1:16" x14ac:dyDescent="0.35">
      <c r="A9" s="46"/>
      <c r="C9" s="37" t="s">
        <v>14</v>
      </c>
      <c r="D9" s="38" t="s">
        <v>20</v>
      </c>
      <c r="E9" s="39" t="s">
        <v>97</v>
      </c>
      <c r="F9" s="27">
        <v>110270</v>
      </c>
      <c r="G9" s="27">
        <v>0</v>
      </c>
      <c r="H9" s="28">
        <f t="shared" si="0"/>
        <v>110270</v>
      </c>
      <c r="I9" s="28">
        <f t="shared" si="1"/>
        <v>45284</v>
      </c>
      <c r="J9" s="25">
        <v>64986</v>
      </c>
      <c r="K9" s="29">
        <v>0</v>
      </c>
      <c r="L9" s="25">
        <v>0</v>
      </c>
      <c r="M9" s="27">
        <f>'05-03-2026'!J54</f>
        <v>1306274</v>
      </c>
      <c r="N9" s="29">
        <v>0</v>
      </c>
      <c r="O9" s="30">
        <v>44116</v>
      </c>
    </row>
    <row r="10" spans="1:16" x14ac:dyDescent="0.35">
      <c r="A10" s="46"/>
      <c r="C10" s="37" t="s">
        <v>14</v>
      </c>
      <c r="D10" s="38" t="s">
        <v>21</v>
      </c>
      <c r="E10" s="39" t="s">
        <v>98</v>
      </c>
      <c r="F10" s="27">
        <v>85340</v>
      </c>
      <c r="G10" s="27">
        <v>0</v>
      </c>
      <c r="H10" s="28">
        <f t="shared" si="0"/>
        <v>85340</v>
      </c>
      <c r="I10" s="28">
        <f t="shared" si="1"/>
        <v>66589</v>
      </c>
      <c r="J10" s="25">
        <v>18751</v>
      </c>
      <c r="K10" s="29">
        <v>0</v>
      </c>
      <c r="L10" s="25">
        <v>0</v>
      </c>
      <c r="M10" s="27">
        <f>'05-03-2026'!J55</f>
        <v>449727</v>
      </c>
      <c r="N10" s="29">
        <v>0</v>
      </c>
      <c r="O10" s="30">
        <v>0</v>
      </c>
    </row>
    <row r="11" spans="1:16" x14ac:dyDescent="0.35">
      <c r="A11" s="48"/>
      <c r="C11" s="40" t="s">
        <v>22</v>
      </c>
      <c r="D11" s="40"/>
      <c r="E11" s="40"/>
      <c r="F11" s="31">
        <f t="shared" ref="F11:O11" si="2">SUM(F5:F10)</f>
        <v>651432</v>
      </c>
      <c r="G11" s="31">
        <f t="shared" si="2"/>
        <v>0</v>
      </c>
      <c r="H11" s="31">
        <f t="shared" si="2"/>
        <v>651432</v>
      </c>
      <c r="I11" s="31">
        <f t="shared" si="2"/>
        <v>524083</v>
      </c>
      <c r="J11" s="31">
        <f t="shared" si="2"/>
        <v>127349</v>
      </c>
      <c r="K11" s="31">
        <f t="shared" si="2"/>
        <v>0</v>
      </c>
      <c r="L11" s="31">
        <f t="shared" si="2"/>
        <v>0</v>
      </c>
      <c r="M11" s="31">
        <f t="shared" si="2"/>
        <v>7559772</v>
      </c>
      <c r="N11" s="31">
        <f t="shared" si="2"/>
        <v>0</v>
      </c>
      <c r="O11" s="31">
        <f t="shared" si="2"/>
        <v>151703</v>
      </c>
    </row>
    <row r="12" spans="1:16" x14ac:dyDescent="0.35">
      <c r="C12" s="37" t="s">
        <v>23</v>
      </c>
      <c r="D12" s="38" t="s">
        <v>24</v>
      </c>
      <c r="E12" s="39" t="s">
        <v>85</v>
      </c>
      <c r="F12" s="27">
        <v>128199</v>
      </c>
      <c r="G12" s="27">
        <v>3614</v>
      </c>
      <c r="H12" s="28">
        <f t="shared" ref="H12:H30" si="3">F12-G12</f>
        <v>124585</v>
      </c>
      <c r="I12" s="28">
        <f t="shared" ref="I12:I30" si="4">H12-J12</f>
        <v>34681</v>
      </c>
      <c r="J12" s="25">
        <v>89904</v>
      </c>
      <c r="K12" s="29">
        <v>0</v>
      </c>
      <c r="L12" s="25">
        <v>0</v>
      </c>
      <c r="M12" s="27">
        <f>'05-03-2026'!J59</f>
        <v>486150</v>
      </c>
      <c r="N12" s="29">
        <v>0</v>
      </c>
      <c r="O12" s="25">
        <v>61657</v>
      </c>
    </row>
    <row r="13" spans="1:16" x14ac:dyDescent="0.35">
      <c r="C13" s="37" t="s">
        <v>23</v>
      </c>
      <c r="D13" s="38" t="s">
        <v>25</v>
      </c>
      <c r="E13" s="39" t="s">
        <v>85</v>
      </c>
      <c r="F13" s="27">
        <v>189463</v>
      </c>
      <c r="G13" s="27">
        <v>11221</v>
      </c>
      <c r="H13" s="28">
        <f t="shared" si="3"/>
        <v>178242</v>
      </c>
      <c r="I13" s="28">
        <f t="shared" si="4"/>
        <v>108290</v>
      </c>
      <c r="J13" s="25">
        <v>69952</v>
      </c>
      <c r="K13" s="29">
        <v>0</v>
      </c>
      <c r="L13" s="25">
        <v>0</v>
      </c>
      <c r="M13" s="27">
        <f>'05-03-2026'!J60</f>
        <v>1586748</v>
      </c>
      <c r="N13" s="29">
        <v>0</v>
      </c>
      <c r="O13" s="25">
        <v>149436</v>
      </c>
    </row>
    <row r="14" spans="1:16" x14ac:dyDescent="0.35">
      <c r="C14" s="37" t="s">
        <v>23</v>
      </c>
      <c r="D14" s="38" t="s">
        <v>25</v>
      </c>
      <c r="E14" s="39" t="s">
        <v>93</v>
      </c>
      <c r="F14" s="27">
        <v>10095</v>
      </c>
      <c r="G14" s="27">
        <v>0</v>
      </c>
      <c r="H14" s="28">
        <f t="shared" si="3"/>
        <v>10095</v>
      </c>
      <c r="I14" s="28">
        <f t="shared" si="4"/>
        <v>0</v>
      </c>
      <c r="J14" s="25">
        <v>10095</v>
      </c>
      <c r="K14" s="29">
        <v>0</v>
      </c>
      <c r="L14" s="25">
        <v>0</v>
      </c>
      <c r="M14" s="27">
        <v>0</v>
      </c>
      <c r="N14" s="29">
        <v>0</v>
      </c>
      <c r="O14" s="25">
        <v>0</v>
      </c>
    </row>
    <row r="15" spans="1:16" x14ac:dyDescent="0.35">
      <c r="C15" s="37" t="s">
        <v>23</v>
      </c>
      <c r="D15" s="38" t="s">
        <v>26</v>
      </c>
      <c r="E15" s="39" t="s">
        <v>84</v>
      </c>
      <c r="F15" s="27">
        <v>0</v>
      </c>
      <c r="G15" s="27">
        <v>0</v>
      </c>
      <c r="H15" s="28">
        <f t="shared" si="3"/>
        <v>0</v>
      </c>
      <c r="I15" s="28">
        <f t="shared" si="4"/>
        <v>0</v>
      </c>
      <c r="J15" s="25">
        <v>0</v>
      </c>
      <c r="K15" s="29">
        <v>0</v>
      </c>
      <c r="L15" s="25">
        <v>0</v>
      </c>
      <c r="M15" s="27">
        <f>'05-03-2026'!J61</f>
        <v>515612</v>
      </c>
      <c r="N15" s="29">
        <v>0</v>
      </c>
      <c r="O15" s="25">
        <v>0</v>
      </c>
    </row>
    <row r="16" spans="1:16" x14ac:dyDescent="0.35">
      <c r="C16" s="37" t="s">
        <v>23</v>
      </c>
      <c r="D16" s="38" t="s">
        <v>20</v>
      </c>
      <c r="E16" s="39" t="s">
        <v>97</v>
      </c>
      <c r="F16" s="27">
        <v>20209</v>
      </c>
      <c r="G16" s="27">
        <v>0</v>
      </c>
      <c r="H16" s="28">
        <f t="shared" si="3"/>
        <v>20209</v>
      </c>
      <c r="I16" s="28">
        <f t="shared" si="4"/>
        <v>0</v>
      </c>
      <c r="J16" s="25">
        <v>20209</v>
      </c>
      <c r="K16" s="29">
        <v>0</v>
      </c>
      <c r="L16" s="25">
        <v>0</v>
      </c>
      <c r="M16" s="27">
        <v>0</v>
      </c>
      <c r="N16" s="29">
        <v>0</v>
      </c>
      <c r="O16" s="25">
        <v>0</v>
      </c>
    </row>
    <row r="17" spans="3:15" x14ac:dyDescent="0.35">
      <c r="C17" s="37" t="s">
        <v>23</v>
      </c>
      <c r="D17" s="38" t="s">
        <v>18</v>
      </c>
      <c r="E17" s="39" t="s">
        <v>92</v>
      </c>
      <c r="F17" s="27">
        <v>12970</v>
      </c>
      <c r="G17" s="27">
        <v>0</v>
      </c>
      <c r="H17" s="28">
        <f t="shared" si="3"/>
        <v>12970</v>
      </c>
      <c r="I17" s="28">
        <f t="shared" si="4"/>
        <v>0</v>
      </c>
      <c r="J17" s="25">
        <v>12970</v>
      </c>
      <c r="K17" s="29">
        <v>0</v>
      </c>
      <c r="L17" s="25">
        <v>0</v>
      </c>
      <c r="M17" s="27">
        <v>0</v>
      </c>
      <c r="N17" s="29">
        <v>0</v>
      </c>
      <c r="O17" s="25">
        <v>0</v>
      </c>
    </row>
    <row r="18" spans="3:15" x14ac:dyDescent="0.35">
      <c r="C18" s="37" t="s">
        <v>23</v>
      </c>
      <c r="D18" s="40"/>
      <c r="E18" s="40"/>
      <c r="F18" s="31">
        <f>SUM(F12:F17)</f>
        <v>360936</v>
      </c>
      <c r="G18" s="31">
        <f>SUM(G12:G17)</f>
        <v>14835</v>
      </c>
      <c r="H18" s="31">
        <f>SUM(H12:H16)</f>
        <v>333131</v>
      </c>
      <c r="I18" s="31">
        <f>SUM(I12:I16)</f>
        <v>142971</v>
      </c>
      <c r="J18" s="31">
        <f>SUM(J12:J17)</f>
        <v>203130</v>
      </c>
      <c r="K18" s="31">
        <f>SUM(K12:K16)</f>
        <v>0</v>
      </c>
      <c r="L18" s="31">
        <f>SUM(L12:L16)</f>
        <v>0</v>
      </c>
      <c r="M18" s="31">
        <f>SUM(M12:M17)</f>
        <v>2588510</v>
      </c>
      <c r="N18" s="31">
        <f>SUM(N12:N16)</f>
        <v>0</v>
      </c>
      <c r="O18" s="31">
        <f>SUM(O12:O17)</f>
        <v>211093</v>
      </c>
    </row>
    <row r="19" spans="3:15" x14ac:dyDescent="0.35">
      <c r="C19" s="37" t="s">
        <v>27</v>
      </c>
      <c r="D19" s="38" t="s">
        <v>25</v>
      </c>
      <c r="E19" s="39" t="s">
        <v>16</v>
      </c>
      <c r="F19" s="27">
        <v>0</v>
      </c>
      <c r="G19" s="27">
        <v>0</v>
      </c>
      <c r="H19" s="28">
        <f t="shared" si="3"/>
        <v>0</v>
      </c>
      <c r="I19" s="28">
        <f t="shared" si="4"/>
        <v>0</v>
      </c>
      <c r="J19" s="25">
        <v>0</v>
      </c>
      <c r="K19" s="29">
        <v>0</v>
      </c>
      <c r="L19" s="25">
        <v>0</v>
      </c>
      <c r="M19" s="27">
        <f>'05-03-2026'!J63</f>
        <v>51257</v>
      </c>
      <c r="N19" s="29">
        <v>0</v>
      </c>
      <c r="O19" s="25">
        <v>0</v>
      </c>
    </row>
    <row r="20" spans="3:15" x14ac:dyDescent="0.35">
      <c r="C20" s="40"/>
      <c r="D20" s="40"/>
      <c r="E20" s="40"/>
      <c r="F20" s="31">
        <f>SUM(F19)</f>
        <v>0</v>
      </c>
      <c r="G20" s="31">
        <f t="shared" ref="G20:O20" si="5">SUM(G19)</f>
        <v>0</v>
      </c>
      <c r="H20" s="31">
        <f t="shared" si="5"/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51257</v>
      </c>
      <c r="N20" s="31">
        <f t="shared" si="5"/>
        <v>0</v>
      </c>
      <c r="O20" s="31">
        <f t="shared" si="5"/>
        <v>0</v>
      </c>
    </row>
    <row r="21" spans="3:15" x14ac:dyDescent="0.35">
      <c r="C21" s="37" t="s">
        <v>28</v>
      </c>
      <c r="D21" s="38" t="s">
        <v>29</v>
      </c>
      <c r="E21" s="39" t="s">
        <v>16</v>
      </c>
      <c r="F21" s="27">
        <v>0</v>
      </c>
      <c r="G21" s="27">
        <v>0</v>
      </c>
      <c r="H21" s="28">
        <f t="shared" si="3"/>
        <v>0</v>
      </c>
      <c r="I21" s="28">
        <f t="shared" si="4"/>
        <v>0</v>
      </c>
      <c r="J21" s="25">
        <v>0</v>
      </c>
      <c r="K21" s="29">
        <v>0</v>
      </c>
      <c r="L21" s="25">
        <v>0</v>
      </c>
      <c r="M21" s="27">
        <f>'05-03-2026'!J74</f>
        <v>33969</v>
      </c>
      <c r="N21" s="29">
        <v>0</v>
      </c>
      <c r="O21" s="25">
        <v>0</v>
      </c>
    </row>
    <row r="22" spans="3:15" x14ac:dyDescent="0.35">
      <c r="C22" s="37" t="s">
        <v>28</v>
      </c>
      <c r="D22" s="38" t="s">
        <v>25</v>
      </c>
      <c r="E22" s="39" t="s">
        <v>16</v>
      </c>
      <c r="F22" s="27">
        <v>0</v>
      </c>
      <c r="G22" s="27">
        <v>0</v>
      </c>
      <c r="H22" s="28">
        <f t="shared" si="3"/>
        <v>0</v>
      </c>
      <c r="I22" s="28">
        <f t="shared" si="4"/>
        <v>0</v>
      </c>
      <c r="J22" s="25">
        <v>0</v>
      </c>
      <c r="K22" s="29">
        <v>0</v>
      </c>
      <c r="L22" s="25">
        <v>0</v>
      </c>
      <c r="M22" s="27">
        <f>'05-03-2026'!J75</f>
        <v>18969</v>
      </c>
      <c r="N22" s="29">
        <v>0</v>
      </c>
      <c r="O22" s="25">
        <v>0</v>
      </c>
    </row>
    <row r="23" spans="3:15" x14ac:dyDescent="0.35">
      <c r="C23" s="40" t="s">
        <v>22</v>
      </c>
      <c r="D23" s="40"/>
      <c r="E23" s="40"/>
      <c r="F23" s="31">
        <f t="shared" ref="F23:L23" si="6">SUM(F21:F22)</f>
        <v>0</v>
      </c>
      <c r="G23" s="31">
        <f t="shared" si="6"/>
        <v>0</v>
      </c>
      <c r="H23" s="31">
        <f t="shared" si="6"/>
        <v>0</v>
      </c>
      <c r="I23" s="31">
        <f t="shared" si="6"/>
        <v>0</v>
      </c>
      <c r="J23" s="31">
        <f t="shared" si="6"/>
        <v>0</v>
      </c>
      <c r="K23" s="31">
        <f>SUM(K21:K22)</f>
        <v>0</v>
      </c>
      <c r="L23" s="31">
        <f t="shared" si="6"/>
        <v>0</v>
      </c>
      <c r="M23" s="31">
        <f>SUM(F23:L23)</f>
        <v>0</v>
      </c>
      <c r="N23" s="31">
        <f t="shared" ref="N23:O23" si="7">SUM(N21:N22)</f>
        <v>0</v>
      </c>
      <c r="O23" s="31">
        <f t="shared" si="7"/>
        <v>0</v>
      </c>
    </row>
    <row r="24" spans="3:15" x14ac:dyDescent="0.35">
      <c r="C24" s="37" t="s">
        <v>30</v>
      </c>
      <c r="D24" s="38" t="s">
        <v>29</v>
      </c>
      <c r="E24" s="39" t="s">
        <v>16</v>
      </c>
      <c r="F24" s="32">
        <v>0</v>
      </c>
      <c r="G24" s="32">
        <v>0</v>
      </c>
      <c r="H24" s="28">
        <f t="shared" si="3"/>
        <v>0</v>
      </c>
      <c r="I24" s="28">
        <f t="shared" si="4"/>
        <v>0</v>
      </c>
      <c r="J24" s="33">
        <v>0</v>
      </c>
      <c r="K24" s="34">
        <v>0</v>
      </c>
      <c r="L24" s="33">
        <v>0</v>
      </c>
      <c r="M24" s="32">
        <f>'05-03-2026'!J78</f>
        <v>89658</v>
      </c>
      <c r="N24" s="34">
        <v>0</v>
      </c>
      <c r="O24" s="33">
        <v>0</v>
      </c>
    </row>
    <row r="25" spans="3:15" x14ac:dyDescent="0.35">
      <c r="C25" s="37" t="s">
        <v>30</v>
      </c>
      <c r="D25" s="38" t="s">
        <v>31</v>
      </c>
      <c r="E25" s="39" t="s">
        <v>16</v>
      </c>
      <c r="F25" s="32">
        <v>0</v>
      </c>
      <c r="G25" s="32">
        <v>0</v>
      </c>
      <c r="H25" s="28">
        <f t="shared" si="3"/>
        <v>0</v>
      </c>
      <c r="I25" s="28">
        <f t="shared" si="4"/>
        <v>0</v>
      </c>
      <c r="J25" s="33">
        <v>0</v>
      </c>
      <c r="K25" s="34">
        <v>0</v>
      </c>
      <c r="L25" s="33">
        <v>0</v>
      </c>
      <c r="M25" s="32">
        <f>'05-03-2026'!J79</f>
        <v>17000</v>
      </c>
      <c r="N25" s="34">
        <v>0</v>
      </c>
      <c r="O25" s="33">
        <v>0</v>
      </c>
    </row>
    <row r="26" spans="3:15" x14ac:dyDescent="0.35">
      <c r="C26" s="40" t="s">
        <v>22</v>
      </c>
      <c r="D26" s="40"/>
      <c r="E26" s="40"/>
      <c r="F26" s="31">
        <f>SUM(F24:F25)</f>
        <v>0</v>
      </c>
      <c r="G26" s="31">
        <f t="shared" ref="G26:O26" si="8">SUM(G24:G25)</f>
        <v>0</v>
      </c>
      <c r="H26" s="31">
        <f t="shared" si="8"/>
        <v>0</v>
      </c>
      <c r="I26" s="31">
        <f t="shared" si="8"/>
        <v>0</v>
      </c>
      <c r="J26" s="31">
        <f t="shared" si="8"/>
        <v>0</v>
      </c>
      <c r="K26" s="31">
        <f t="shared" si="8"/>
        <v>0</v>
      </c>
      <c r="L26" s="31">
        <f t="shared" si="8"/>
        <v>0</v>
      </c>
      <c r="M26" s="31">
        <f t="shared" si="8"/>
        <v>106658</v>
      </c>
      <c r="N26" s="31">
        <f t="shared" si="8"/>
        <v>0</v>
      </c>
      <c r="O26" s="31">
        <f t="shared" si="8"/>
        <v>0</v>
      </c>
    </row>
    <row r="27" spans="3:15" x14ac:dyDescent="0.35">
      <c r="C27" s="37" t="s">
        <v>32</v>
      </c>
      <c r="D27" s="38" t="s">
        <v>33</v>
      </c>
      <c r="E27" s="39" t="s">
        <v>97</v>
      </c>
      <c r="F27" s="35">
        <v>21407</v>
      </c>
      <c r="G27" s="27">
        <v>0</v>
      </c>
      <c r="H27" s="28">
        <f t="shared" si="3"/>
        <v>21407</v>
      </c>
      <c r="I27" s="28">
        <f t="shared" si="4"/>
        <v>18707</v>
      </c>
      <c r="J27" s="25">
        <v>2700</v>
      </c>
      <c r="K27" s="29">
        <v>0</v>
      </c>
      <c r="L27" s="25">
        <v>0</v>
      </c>
      <c r="M27" s="27">
        <f>'05-03-2026'!J66</f>
        <v>1450535</v>
      </c>
      <c r="N27" s="29">
        <v>0</v>
      </c>
      <c r="O27" s="25">
        <v>60240</v>
      </c>
    </row>
    <row r="28" spans="3:15" x14ac:dyDescent="0.35">
      <c r="C28" s="37" t="s">
        <v>32</v>
      </c>
      <c r="D28" s="38" t="s">
        <v>31</v>
      </c>
      <c r="E28" s="39" t="s">
        <v>16</v>
      </c>
      <c r="F28" s="35">
        <v>0</v>
      </c>
      <c r="G28" s="27">
        <v>0</v>
      </c>
      <c r="H28" s="28">
        <f t="shared" si="3"/>
        <v>0</v>
      </c>
      <c r="I28" s="28">
        <f t="shared" si="4"/>
        <v>0</v>
      </c>
      <c r="J28" s="25">
        <v>0</v>
      </c>
      <c r="K28" s="29">
        <v>0</v>
      </c>
      <c r="L28" s="25">
        <v>0</v>
      </c>
      <c r="M28" s="27">
        <f>'05-03-2026'!J67</f>
        <v>174473</v>
      </c>
      <c r="N28" s="29">
        <v>0</v>
      </c>
      <c r="O28" s="25">
        <v>0</v>
      </c>
    </row>
    <row r="29" spans="3:15" x14ac:dyDescent="0.35">
      <c r="C29" s="37" t="s">
        <v>32</v>
      </c>
      <c r="D29" s="38" t="s">
        <v>26</v>
      </c>
      <c r="E29" s="39" t="s">
        <v>16</v>
      </c>
      <c r="F29" s="35">
        <v>0</v>
      </c>
      <c r="G29" s="27">
        <v>0</v>
      </c>
      <c r="H29" s="28">
        <f t="shared" si="3"/>
        <v>0</v>
      </c>
      <c r="I29" s="28">
        <f t="shared" si="4"/>
        <v>0</v>
      </c>
      <c r="J29" s="25">
        <v>0</v>
      </c>
      <c r="K29" s="29">
        <v>0</v>
      </c>
      <c r="L29" s="25">
        <v>0</v>
      </c>
      <c r="M29" s="27">
        <f>'05-03-2026'!J68</f>
        <v>35126</v>
      </c>
      <c r="N29" s="29">
        <v>0</v>
      </c>
      <c r="O29" s="25">
        <v>0</v>
      </c>
    </row>
    <row r="30" spans="3:15" x14ac:dyDescent="0.35">
      <c r="C30" s="37" t="s">
        <v>32</v>
      </c>
      <c r="D30" s="38" t="s">
        <v>34</v>
      </c>
      <c r="E30" s="39" t="s">
        <v>86</v>
      </c>
      <c r="F30" s="35">
        <v>0</v>
      </c>
      <c r="G30" s="27">
        <v>0</v>
      </c>
      <c r="H30" s="28">
        <f t="shared" si="3"/>
        <v>0</v>
      </c>
      <c r="I30" s="28">
        <f t="shared" si="4"/>
        <v>0</v>
      </c>
      <c r="J30" s="25">
        <v>0</v>
      </c>
      <c r="K30" s="29">
        <v>0</v>
      </c>
      <c r="L30" s="25">
        <v>0</v>
      </c>
      <c r="M30" s="27">
        <f>'05-03-2026'!J69</f>
        <v>1346102</v>
      </c>
      <c r="N30" s="29">
        <v>0</v>
      </c>
      <c r="O30" s="25">
        <v>52535</v>
      </c>
    </row>
    <row r="31" spans="3:15" x14ac:dyDescent="0.35">
      <c r="C31" s="40" t="s">
        <v>22</v>
      </c>
      <c r="D31" s="40"/>
      <c r="E31" s="40"/>
      <c r="F31" s="31">
        <f>SUM(F27:F30)</f>
        <v>21407</v>
      </c>
      <c r="G31" s="31">
        <f t="shared" ref="G31:O31" si="9">SUM(G27:G30)</f>
        <v>0</v>
      </c>
      <c r="H31" s="31">
        <f t="shared" si="9"/>
        <v>21407</v>
      </c>
      <c r="I31" s="31">
        <f t="shared" si="9"/>
        <v>18707</v>
      </c>
      <c r="J31" s="31">
        <f t="shared" si="9"/>
        <v>2700</v>
      </c>
      <c r="K31" s="31">
        <f t="shared" si="9"/>
        <v>0</v>
      </c>
      <c r="L31" s="31">
        <f t="shared" si="9"/>
        <v>0</v>
      </c>
      <c r="M31" s="31">
        <f t="shared" si="9"/>
        <v>3006236</v>
      </c>
      <c r="N31" s="31">
        <f t="shared" si="9"/>
        <v>0</v>
      </c>
      <c r="O31" s="31">
        <f t="shared" si="9"/>
        <v>112775</v>
      </c>
    </row>
    <row r="32" spans="3:15" x14ac:dyDescent="0.35">
      <c r="C32" s="41" t="s">
        <v>35</v>
      </c>
      <c r="D32" s="41"/>
      <c r="E32" s="41"/>
      <c r="F32" s="36">
        <f t="shared" ref="F32:O32" si="10">F31+F26+F23+F20+F18+F11</f>
        <v>1033775</v>
      </c>
      <c r="G32" s="36">
        <f t="shared" si="10"/>
        <v>14835</v>
      </c>
      <c r="H32" s="36">
        <f t="shared" si="10"/>
        <v>1005970</v>
      </c>
      <c r="I32" s="36">
        <f t="shared" si="10"/>
        <v>685761</v>
      </c>
      <c r="J32" s="36">
        <f t="shared" si="10"/>
        <v>333179</v>
      </c>
      <c r="K32" s="36">
        <f t="shared" si="10"/>
        <v>0</v>
      </c>
      <c r="L32" s="36">
        <f t="shared" si="10"/>
        <v>0</v>
      </c>
      <c r="M32" s="36">
        <f t="shared" si="10"/>
        <v>13312433</v>
      </c>
      <c r="N32" s="36">
        <f t="shared" si="10"/>
        <v>0</v>
      </c>
      <c r="O32" s="36">
        <f t="shared" si="10"/>
        <v>475571</v>
      </c>
    </row>
    <row r="33" spans="3:15" x14ac:dyDescent="0.35">
      <c r="F33" s="49" t="s">
        <v>36</v>
      </c>
      <c r="G33" s="25">
        <f>O11+L11+J11-K11</f>
        <v>279052</v>
      </c>
      <c r="H33" s="200"/>
      <c r="I33" s="201"/>
      <c r="J33" s="50"/>
      <c r="K33" s="51"/>
      <c r="L33" s="51"/>
    </row>
    <row r="34" spans="3:15" x14ac:dyDescent="0.35">
      <c r="F34" s="52" t="s">
        <v>37</v>
      </c>
      <c r="G34" s="25">
        <f>O18+L18+J18-K18+O20+L20+J20-K20</f>
        <v>414223</v>
      </c>
      <c r="H34" s="53"/>
      <c r="I34" s="54" t="s">
        <v>89</v>
      </c>
      <c r="J34" s="54" t="s">
        <v>90</v>
      </c>
      <c r="K34" s="192" t="s">
        <v>88</v>
      </c>
      <c r="L34" s="193"/>
      <c r="M34" s="202" t="s">
        <v>87</v>
      </c>
      <c r="N34" s="203"/>
      <c r="O34" s="204"/>
    </row>
    <row r="35" spans="3:15" x14ac:dyDescent="0.35">
      <c r="C35" s="205" t="s">
        <v>68</v>
      </c>
      <c r="D35" s="206"/>
      <c r="F35" s="55" t="s">
        <v>38</v>
      </c>
      <c r="G35" s="25">
        <f>O23+L23+J23-K23</f>
        <v>0</v>
      </c>
      <c r="H35" s="53"/>
      <c r="I35" s="54"/>
      <c r="J35" s="57"/>
      <c r="K35" s="192"/>
      <c r="L35" s="193"/>
      <c r="M35" s="59"/>
      <c r="N35" s="58"/>
      <c r="O35" s="60"/>
    </row>
    <row r="36" spans="3:15" x14ac:dyDescent="0.35">
      <c r="C36" s="61"/>
      <c r="D36" s="61"/>
      <c r="F36" s="62" t="s">
        <v>30</v>
      </c>
      <c r="G36" s="25">
        <f>O26+L26+J26-K26</f>
        <v>0</v>
      </c>
      <c r="H36" s="53"/>
      <c r="I36" s="56"/>
      <c r="J36" s="57"/>
      <c r="K36" s="192"/>
      <c r="L36" s="193"/>
      <c r="M36" s="59"/>
      <c r="N36" s="58"/>
      <c r="O36" s="60"/>
    </row>
    <row r="37" spans="3:15" x14ac:dyDescent="0.35">
      <c r="C37" s="61"/>
      <c r="D37" s="61"/>
      <c r="F37" s="49" t="s">
        <v>39</v>
      </c>
      <c r="G37" s="25">
        <f>O31+L31+J31-K31</f>
        <v>115475</v>
      </c>
      <c r="H37" s="53"/>
      <c r="I37" s="56"/>
      <c r="J37" s="57"/>
      <c r="K37" s="192"/>
      <c r="L37" s="193"/>
      <c r="M37" s="59"/>
      <c r="N37" s="58"/>
      <c r="O37" s="60"/>
    </row>
    <row r="38" spans="3:15" x14ac:dyDescent="0.35">
      <c r="C38" s="61"/>
      <c r="D38" s="61"/>
      <c r="F38" s="63" t="s">
        <v>40</v>
      </c>
      <c r="G38" s="26">
        <f>SUM(G33:G37)</f>
        <v>808750</v>
      </c>
      <c r="I38" s="61"/>
      <c r="J38" s="57"/>
      <c r="K38" s="192"/>
      <c r="L38" s="193"/>
      <c r="M38" s="59"/>
      <c r="N38" s="58"/>
      <c r="O38" s="60"/>
    </row>
    <row r="39" spans="3:15" x14ac:dyDescent="0.35">
      <c r="C39" s="61"/>
      <c r="D39" s="61"/>
      <c r="F39" s="64"/>
      <c r="G39" s="65"/>
      <c r="I39" s="61"/>
      <c r="J39" s="57"/>
      <c r="K39" s="192"/>
      <c r="L39" s="193"/>
      <c r="M39" s="59"/>
      <c r="N39" s="58"/>
      <c r="O39" s="60"/>
    </row>
    <row r="40" spans="3:15" x14ac:dyDescent="0.35">
      <c r="C40" s="61"/>
      <c r="D40" s="61"/>
      <c r="F40" s="64"/>
      <c r="G40" s="65"/>
      <c r="I40" s="61"/>
      <c r="J40" s="57"/>
      <c r="K40" s="58"/>
      <c r="L40" s="58"/>
      <c r="M40" s="59"/>
      <c r="N40" s="58"/>
      <c r="O40" s="60"/>
    </row>
    <row r="41" spans="3:15" x14ac:dyDescent="0.35">
      <c r="C41" s="61"/>
      <c r="D41" s="61"/>
      <c r="F41" s="64"/>
      <c r="G41" s="65"/>
      <c r="I41" s="61"/>
      <c r="J41" s="57"/>
      <c r="K41" s="58"/>
      <c r="L41" s="58"/>
      <c r="M41" s="59"/>
      <c r="N41" s="58"/>
      <c r="O41" s="60"/>
    </row>
    <row r="42" spans="3:15" x14ac:dyDescent="0.35">
      <c r="C42" s="61"/>
      <c r="D42" s="61"/>
      <c r="F42" s="64"/>
      <c r="G42" s="65"/>
      <c r="I42" s="61"/>
      <c r="J42" s="57"/>
      <c r="K42" s="58"/>
      <c r="L42" s="58"/>
      <c r="M42" s="59"/>
      <c r="N42" s="58"/>
      <c r="O42" s="60"/>
    </row>
    <row r="43" spans="3:15" x14ac:dyDescent="0.35">
      <c r="C43" s="61"/>
      <c r="D43" s="61"/>
      <c r="F43" s="64"/>
      <c r="G43" s="65"/>
      <c r="I43" s="61"/>
      <c r="J43" s="57"/>
      <c r="K43" s="191"/>
      <c r="L43" s="193"/>
      <c r="M43" s="191"/>
      <c r="N43" s="192"/>
      <c r="O43" s="193"/>
    </row>
    <row r="44" spans="3:15" x14ac:dyDescent="0.35">
      <c r="C44" s="61"/>
      <c r="D44" s="61"/>
      <c r="F44" s="64"/>
      <c r="G44" s="65"/>
      <c r="I44" s="61"/>
      <c r="J44" s="54"/>
      <c r="K44" s="191"/>
      <c r="L44" s="193"/>
      <c r="M44" s="191"/>
      <c r="N44" s="192"/>
      <c r="O44" s="193"/>
    </row>
    <row r="45" spans="3:15" x14ac:dyDescent="0.35">
      <c r="C45" s="61"/>
      <c r="D45" s="61"/>
      <c r="F45" s="64"/>
      <c r="G45" s="65"/>
      <c r="I45" s="61"/>
      <c r="J45" s="54"/>
      <c r="K45" s="191"/>
      <c r="L45" s="193"/>
      <c r="M45" s="191"/>
      <c r="N45" s="192"/>
      <c r="O45" s="193"/>
    </row>
    <row r="46" spans="3:15" x14ac:dyDescent="0.35">
      <c r="C46" s="61"/>
      <c r="D46" s="61"/>
      <c r="F46" s="64"/>
      <c r="G46" s="65"/>
      <c r="I46" s="61"/>
      <c r="J46" s="54"/>
      <c r="K46" s="191"/>
      <c r="L46" s="193"/>
      <c r="M46" s="191"/>
      <c r="N46" s="192"/>
      <c r="O46" s="193"/>
    </row>
    <row r="47" spans="3:15" x14ac:dyDescent="0.35">
      <c r="C47" s="61"/>
      <c r="D47" s="61"/>
      <c r="F47" s="64"/>
      <c r="G47" s="65"/>
      <c r="I47" s="61"/>
      <c r="J47" s="54"/>
      <c r="K47" s="191"/>
      <c r="L47" s="193"/>
      <c r="M47" s="191"/>
      <c r="N47" s="192"/>
      <c r="O47" s="193"/>
    </row>
    <row r="48" spans="3:15" x14ac:dyDescent="0.35">
      <c r="H48" s="209" t="s">
        <v>41</v>
      </c>
      <c r="I48" s="209"/>
      <c r="J48" s="209"/>
      <c r="K48" s="210"/>
      <c r="L48" s="46"/>
      <c r="M48" s="66"/>
    </row>
    <row r="49" spans="3:14" x14ac:dyDescent="0.35">
      <c r="H49" s="67" t="s">
        <v>42</v>
      </c>
      <c r="I49" s="67" t="s">
        <v>43</v>
      </c>
      <c r="J49" s="67" t="s">
        <v>44</v>
      </c>
      <c r="K49" s="210"/>
      <c r="L49" s="66"/>
    </row>
    <row r="50" spans="3:14" x14ac:dyDescent="0.35">
      <c r="F50" s="68"/>
      <c r="H50" s="42" t="s">
        <v>14</v>
      </c>
      <c r="I50" s="42" t="s">
        <v>15</v>
      </c>
      <c r="J50" s="68">
        <f>M5-O5-N5-L5+I5</f>
        <v>322198</v>
      </c>
      <c r="K50" s="69">
        <v>359515</v>
      </c>
      <c r="L50" s="70">
        <f>J50-K50</f>
        <v>-37317</v>
      </c>
      <c r="M50" s="68"/>
    </row>
    <row r="51" spans="3:14" x14ac:dyDescent="0.35">
      <c r="C51" s="211">
        <v>45931</v>
      </c>
      <c r="D51" s="211"/>
      <c r="E51" s="211"/>
      <c r="H51" s="42" t="s">
        <v>14</v>
      </c>
      <c r="I51" s="42" t="s">
        <v>17</v>
      </c>
      <c r="J51" s="68">
        <f>M6-O6-N6-L6+I6+G51</f>
        <v>3643078</v>
      </c>
      <c r="K51" s="69">
        <v>3643077</v>
      </c>
      <c r="L51" s="70">
        <f t="shared" ref="L51:L62" si="11">J51-K51</f>
        <v>1</v>
      </c>
      <c r="M51" s="68"/>
    </row>
    <row r="52" spans="3:14" x14ac:dyDescent="0.35">
      <c r="C52" s="212" t="s">
        <v>63</v>
      </c>
      <c r="D52" s="212"/>
      <c r="E52" s="212"/>
      <c r="H52" s="42" t="s">
        <v>14</v>
      </c>
      <c r="I52" s="42" t="s">
        <v>18</v>
      </c>
      <c r="J52" s="68">
        <f>M7-O7-N7-L7+I7+G52</f>
        <v>1240099</v>
      </c>
      <c r="K52" s="69">
        <v>1158224</v>
      </c>
      <c r="L52" s="70">
        <f t="shared" si="11"/>
        <v>81875</v>
      </c>
      <c r="M52" s="68"/>
    </row>
    <row r="53" spans="3:14" x14ac:dyDescent="0.35">
      <c r="C53" s="61" t="s">
        <v>64</v>
      </c>
      <c r="D53" s="213">
        <f>'Opening Balance FEB 2026'!J4</f>
        <v>1308640</v>
      </c>
      <c r="E53" s="214"/>
      <c r="H53" s="42" t="s">
        <v>14</v>
      </c>
      <c r="I53" s="42" t="s">
        <v>19</v>
      </c>
      <c r="J53" s="68">
        <f>M8-O8-N8-L8+I8+G53</f>
        <v>903019</v>
      </c>
      <c r="K53" s="69">
        <v>903051</v>
      </c>
      <c r="L53" s="70">
        <f t="shared" si="11"/>
        <v>-32</v>
      </c>
      <c r="M53" s="68"/>
    </row>
    <row r="54" spans="3:14" x14ac:dyDescent="0.35">
      <c r="C54" s="61" t="s">
        <v>65</v>
      </c>
      <c r="D54" s="213">
        <f>G38</f>
        <v>808750</v>
      </c>
      <c r="E54" s="214"/>
      <c r="H54" s="42" t="s">
        <v>14</v>
      </c>
      <c r="I54" s="42" t="s">
        <v>20</v>
      </c>
      <c r="J54" s="68">
        <f>M9-O9-N9-L9+I9+G54</f>
        <v>1307442</v>
      </c>
      <c r="K54" s="69">
        <v>1242441</v>
      </c>
      <c r="L54" s="70">
        <f t="shared" si="11"/>
        <v>65001</v>
      </c>
      <c r="M54" s="68"/>
    </row>
    <row r="55" spans="3:14" x14ac:dyDescent="0.35">
      <c r="C55" s="71" t="s">
        <v>45</v>
      </c>
      <c r="D55" s="215">
        <f>D53+D54</f>
        <v>2117390</v>
      </c>
      <c r="E55" s="216"/>
      <c r="H55" s="42" t="s">
        <v>14</v>
      </c>
      <c r="I55" s="42" t="s">
        <v>21</v>
      </c>
      <c r="J55" s="68">
        <f>M10-O10-N10-L10+I10+G55</f>
        <v>516316</v>
      </c>
      <c r="K55" s="69">
        <v>516317</v>
      </c>
      <c r="L55" s="70">
        <f t="shared" si="11"/>
        <v>-1</v>
      </c>
    </row>
    <row r="56" spans="3:14" x14ac:dyDescent="0.35">
      <c r="C56" s="61" t="s">
        <v>66</v>
      </c>
      <c r="D56" s="207">
        <v>0</v>
      </c>
      <c r="E56" s="208"/>
      <c r="H56" s="72" t="s">
        <v>45</v>
      </c>
      <c r="I56" s="72"/>
      <c r="J56" s="73">
        <f>SUM(J50:J55)</f>
        <v>7932152</v>
      </c>
      <c r="K56" s="74">
        <v>7932152</v>
      </c>
      <c r="L56" s="70">
        <f t="shared" si="11"/>
        <v>0</v>
      </c>
    </row>
    <row r="57" spans="3:14" x14ac:dyDescent="0.35">
      <c r="C57" s="61" t="s">
        <v>78</v>
      </c>
      <c r="D57" s="207">
        <v>0</v>
      </c>
      <c r="E57" s="208"/>
      <c r="H57" s="72"/>
      <c r="I57" s="72"/>
      <c r="J57" s="73"/>
      <c r="K57" s="75"/>
      <c r="L57" s="70"/>
    </row>
    <row r="58" spans="3:14" x14ac:dyDescent="0.35">
      <c r="C58" s="61" t="s">
        <v>75</v>
      </c>
      <c r="D58" s="207">
        <v>10000</v>
      </c>
      <c r="E58" s="208"/>
      <c r="H58" s="67" t="s">
        <v>42</v>
      </c>
      <c r="I58" s="67" t="s">
        <v>43</v>
      </c>
      <c r="J58" s="67" t="s">
        <v>44</v>
      </c>
      <c r="K58" s="66"/>
      <c r="L58" s="70"/>
    </row>
    <row r="59" spans="3:14" x14ac:dyDescent="0.35">
      <c r="C59" s="76" t="s">
        <v>83</v>
      </c>
      <c r="D59" s="217">
        <f>SUM(D56:E58)</f>
        <v>10000</v>
      </c>
      <c r="E59" s="218"/>
      <c r="H59" s="42" t="s">
        <v>46</v>
      </c>
      <c r="I59" s="42" t="s">
        <v>48</v>
      </c>
      <c r="J59" s="68">
        <f>M12-O12-N12-L12+I12</f>
        <v>459174</v>
      </c>
      <c r="K59" s="69">
        <v>282651</v>
      </c>
      <c r="L59" s="70">
        <f t="shared" si="11"/>
        <v>176523</v>
      </c>
    </row>
    <row r="60" spans="3:14" x14ac:dyDescent="0.35">
      <c r="C60" s="77" t="s">
        <v>67</v>
      </c>
      <c r="D60" s="219">
        <f>D55-D56-D58-D57</f>
        <v>2107390</v>
      </c>
      <c r="E60" s="220"/>
      <c r="H60" s="42" t="s">
        <v>46</v>
      </c>
      <c r="I60" s="42" t="s">
        <v>47</v>
      </c>
      <c r="J60" s="68">
        <f>M13-O13-N13-L13+I13</f>
        <v>1545602</v>
      </c>
      <c r="K60" s="69">
        <v>1508814</v>
      </c>
      <c r="L60" s="70">
        <f t="shared" si="11"/>
        <v>36788</v>
      </c>
      <c r="N60" s="68"/>
    </row>
    <row r="61" spans="3:14" x14ac:dyDescent="0.35">
      <c r="C61" s="78" t="s">
        <v>68</v>
      </c>
      <c r="D61" s="221"/>
      <c r="E61" s="222"/>
      <c r="H61" s="42" t="s">
        <v>46</v>
      </c>
      <c r="I61" s="42" t="s">
        <v>15</v>
      </c>
      <c r="J61" s="68">
        <f>M15-O15-N15-L15+I15</f>
        <v>515612</v>
      </c>
      <c r="K61" s="69">
        <v>612306</v>
      </c>
      <c r="L61" s="70">
        <f t="shared" si="11"/>
        <v>-96694</v>
      </c>
      <c r="M61" s="68"/>
      <c r="N61" s="68"/>
    </row>
    <row r="62" spans="3:14" x14ac:dyDescent="0.35">
      <c r="C62" s="61" t="s">
        <v>14</v>
      </c>
      <c r="D62" s="213">
        <v>0</v>
      </c>
      <c r="E62" s="214"/>
      <c r="H62" s="42" t="s">
        <v>46</v>
      </c>
      <c r="I62" s="42" t="s">
        <v>20</v>
      </c>
      <c r="J62" s="68">
        <v>8160</v>
      </c>
      <c r="K62" s="69">
        <v>8160</v>
      </c>
      <c r="L62" s="70">
        <f t="shared" si="11"/>
        <v>0</v>
      </c>
    </row>
    <row r="63" spans="3:14" x14ac:dyDescent="0.35">
      <c r="C63" s="61" t="s">
        <v>72</v>
      </c>
      <c r="D63" s="213">
        <v>0</v>
      </c>
      <c r="E63" s="214"/>
      <c r="H63" s="42" t="s">
        <v>27</v>
      </c>
      <c r="I63" s="42" t="s">
        <v>47</v>
      </c>
      <c r="J63" s="68">
        <f>M19-O19-N19-L19+I19</f>
        <v>51257</v>
      </c>
      <c r="K63" s="69">
        <v>51257</v>
      </c>
      <c r="L63" s="70">
        <f>J63-K63</f>
        <v>0</v>
      </c>
    </row>
    <row r="64" spans="3:14" x14ac:dyDescent="0.35">
      <c r="C64" s="61" t="s">
        <v>69</v>
      </c>
      <c r="D64" s="213">
        <v>0</v>
      </c>
      <c r="E64" s="214"/>
      <c r="H64" s="72" t="s">
        <v>45</v>
      </c>
      <c r="I64" s="72"/>
      <c r="J64" s="73">
        <f>SUM(J59:J63)</f>
        <v>2579805</v>
      </c>
      <c r="K64" s="69">
        <f>SUM(K59:K63)</f>
        <v>2463188</v>
      </c>
      <c r="L64" s="70">
        <f>J64-K64</f>
        <v>116617</v>
      </c>
    </row>
    <row r="65" spans="3:14" x14ac:dyDescent="0.35">
      <c r="C65" s="61" t="s">
        <v>70</v>
      </c>
      <c r="D65" s="213">
        <v>0</v>
      </c>
      <c r="E65" s="214"/>
      <c r="F65" s="68"/>
      <c r="H65" s="67" t="s">
        <v>42</v>
      </c>
      <c r="I65" s="67" t="s">
        <v>43</v>
      </c>
      <c r="J65" s="67" t="s">
        <v>44</v>
      </c>
    </row>
    <row r="66" spans="3:14" x14ac:dyDescent="0.35">
      <c r="C66" s="61" t="s">
        <v>71</v>
      </c>
      <c r="D66" s="213">
        <v>0</v>
      </c>
      <c r="E66" s="214"/>
      <c r="F66" s="79"/>
      <c r="G66" s="80"/>
      <c r="H66" s="42" t="s">
        <v>49</v>
      </c>
      <c r="I66" s="42" t="s">
        <v>51</v>
      </c>
      <c r="J66" s="68">
        <f>M27-O27-N27-L27+I27</f>
        <v>1409002</v>
      </c>
      <c r="K66" s="69">
        <v>1466110</v>
      </c>
      <c r="L66" s="70">
        <f t="shared" ref="L66:L72" si="12">J66-K66</f>
        <v>-57108</v>
      </c>
      <c r="N66" s="68"/>
    </row>
    <row r="67" spans="3:14" x14ac:dyDescent="0.35">
      <c r="C67" s="77" t="s">
        <v>73</v>
      </c>
      <c r="D67" s="219">
        <f>SUM(D62:D66)</f>
        <v>0</v>
      </c>
      <c r="E67" s="220"/>
      <c r="F67" s="68"/>
      <c r="H67" s="42" t="s">
        <v>49</v>
      </c>
      <c r="I67" s="42" t="s">
        <v>18</v>
      </c>
      <c r="J67" s="68">
        <f>M28-O28-N28-L28+I28</f>
        <v>174473</v>
      </c>
      <c r="K67" s="69">
        <v>174473</v>
      </c>
      <c r="L67" s="70">
        <f t="shared" si="12"/>
        <v>0</v>
      </c>
    </row>
    <row r="68" spans="3:14" x14ac:dyDescent="0.35">
      <c r="C68" s="81" t="s">
        <v>74</v>
      </c>
      <c r="D68" s="223">
        <f>D60-D67</f>
        <v>2107390</v>
      </c>
      <c r="E68" s="224"/>
      <c r="F68" s="68"/>
      <c r="H68" s="42" t="s">
        <v>49</v>
      </c>
      <c r="I68" s="42" t="s">
        <v>15</v>
      </c>
      <c r="J68" s="68">
        <f>M29-O29-N29-L29+I29</f>
        <v>35126</v>
      </c>
      <c r="K68" s="69">
        <v>35126</v>
      </c>
      <c r="L68" s="70">
        <f t="shared" si="12"/>
        <v>0</v>
      </c>
    </row>
    <row r="69" spans="3:14" x14ac:dyDescent="0.35">
      <c r="C69" s="61"/>
      <c r="D69" s="213">
        <v>3102990</v>
      </c>
      <c r="E69" s="214"/>
      <c r="H69" s="42" t="s">
        <v>49</v>
      </c>
      <c r="I69" s="42" t="s">
        <v>50</v>
      </c>
      <c r="J69" s="68">
        <f>M30-O30-N30-L30+I30+G69</f>
        <v>1293567</v>
      </c>
      <c r="K69" s="69">
        <v>1281692</v>
      </c>
      <c r="L69" s="70">
        <f t="shared" si="12"/>
        <v>11875</v>
      </c>
    </row>
    <row r="70" spans="3:14" x14ac:dyDescent="0.35">
      <c r="C70" s="61"/>
      <c r="D70" s="213">
        <f>D68-D69</f>
        <v>-995600</v>
      </c>
      <c r="E70" s="214"/>
      <c r="H70" s="42" t="s">
        <v>49</v>
      </c>
      <c r="I70" s="42" t="s">
        <v>20</v>
      </c>
      <c r="J70" s="68">
        <f>'Opening Balance FEB 2026'!F24</f>
        <v>66046</v>
      </c>
      <c r="K70" s="69">
        <v>96296</v>
      </c>
      <c r="L70" s="70">
        <f t="shared" si="12"/>
        <v>-30250</v>
      </c>
    </row>
    <row r="71" spans="3:14" x14ac:dyDescent="0.35">
      <c r="H71" s="42" t="s">
        <v>49</v>
      </c>
      <c r="I71" s="42" t="s">
        <v>47</v>
      </c>
      <c r="J71" s="68">
        <f>'Opening Balance FEB 2026'!F25</f>
        <v>23570</v>
      </c>
      <c r="K71" s="69">
        <v>23570</v>
      </c>
      <c r="L71" s="70">
        <f t="shared" si="12"/>
        <v>0</v>
      </c>
    </row>
    <row r="72" spans="3:14" x14ac:dyDescent="0.35">
      <c r="H72" s="72" t="s">
        <v>45</v>
      </c>
      <c r="I72" s="72"/>
      <c r="J72" s="73">
        <f>SUM(J66:J71)</f>
        <v>3001784</v>
      </c>
      <c r="K72" s="69">
        <v>3027034</v>
      </c>
      <c r="L72" s="70">
        <f t="shared" si="12"/>
        <v>-25250</v>
      </c>
      <c r="N72" s="68"/>
    </row>
    <row r="73" spans="3:14" x14ac:dyDescent="0.35">
      <c r="H73" s="67" t="s">
        <v>42</v>
      </c>
      <c r="I73" s="67" t="s">
        <v>43</v>
      </c>
      <c r="J73" s="67" t="s">
        <v>44</v>
      </c>
    </row>
    <row r="74" spans="3:14" x14ac:dyDescent="0.35">
      <c r="H74" s="42" t="s">
        <v>52</v>
      </c>
      <c r="I74" s="42" t="s">
        <v>53</v>
      </c>
      <c r="J74" s="68">
        <f>M21-O21-N21-L21+I21-G73</f>
        <v>33969</v>
      </c>
      <c r="K74" s="68">
        <v>33969</v>
      </c>
      <c r="L74" s="70">
        <f>J74-K74</f>
        <v>0</v>
      </c>
    </row>
    <row r="75" spans="3:14" x14ac:dyDescent="0.35">
      <c r="H75" s="42" t="s">
        <v>52</v>
      </c>
      <c r="I75" s="42" t="s">
        <v>47</v>
      </c>
      <c r="J75" s="68">
        <f>M22-O22-N22-L22+I22</f>
        <v>18969</v>
      </c>
      <c r="K75" s="82">
        <v>33969</v>
      </c>
      <c r="L75" s="70">
        <f>J75-K75</f>
        <v>-15000</v>
      </c>
    </row>
    <row r="76" spans="3:14" x14ac:dyDescent="0.35">
      <c r="H76" s="72" t="s">
        <v>45</v>
      </c>
      <c r="I76" s="72"/>
      <c r="J76" s="73">
        <f>SUM(J74:J75)</f>
        <v>52938</v>
      </c>
      <c r="K76" s="68">
        <v>160846</v>
      </c>
      <c r="L76" s="70">
        <f>J76-K76</f>
        <v>-107908</v>
      </c>
    </row>
    <row r="77" spans="3:14" x14ac:dyDescent="0.35">
      <c r="G77" s="42">
        <v>0</v>
      </c>
      <c r="H77" s="67" t="s">
        <v>42</v>
      </c>
      <c r="I77" s="67" t="s">
        <v>43</v>
      </c>
      <c r="J77" s="67" t="s">
        <v>44</v>
      </c>
      <c r="K77" s="69">
        <v>0</v>
      </c>
      <c r="L77" s="70"/>
    </row>
    <row r="78" spans="3:14" x14ac:dyDescent="0.35">
      <c r="H78" s="42" t="s">
        <v>54</v>
      </c>
      <c r="I78" s="42" t="s">
        <v>53</v>
      </c>
      <c r="J78" s="68">
        <f>M24-O24-N24-L24+I24-G77</f>
        <v>89658</v>
      </c>
      <c r="K78" s="69">
        <v>89658</v>
      </c>
      <c r="L78" s="70">
        <f>J78-K78</f>
        <v>0</v>
      </c>
    </row>
    <row r="79" spans="3:14" x14ac:dyDescent="0.35">
      <c r="H79" s="42" t="s">
        <v>54</v>
      </c>
      <c r="I79" s="42" t="s">
        <v>18</v>
      </c>
      <c r="J79" s="68">
        <f>M25-O25-N25-L25+I25</f>
        <v>17000</v>
      </c>
      <c r="K79" s="69">
        <v>67000</v>
      </c>
      <c r="L79" s="70">
        <f>J79-K79</f>
        <v>-50000</v>
      </c>
    </row>
    <row r="80" spans="3:14" x14ac:dyDescent="0.35">
      <c r="H80" s="72" t="s">
        <v>45</v>
      </c>
      <c r="I80" s="72"/>
      <c r="J80" s="73">
        <f>SUM(J78:J79)</f>
        <v>106658</v>
      </c>
      <c r="K80" s="68">
        <f>SUM(K77:K79)</f>
        <v>156658</v>
      </c>
      <c r="L80" s="70">
        <f>J80-K80</f>
        <v>-50000</v>
      </c>
    </row>
    <row r="81" spans="4:12" x14ac:dyDescent="0.35">
      <c r="H81" s="67" t="s">
        <v>42</v>
      </c>
      <c r="I81" s="67" t="s">
        <v>43</v>
      </c>
      <c r="J81" s="67" t="s">
        <v>44</v>
      </c>
      <c r="K81" s="69">
        <v>0</v>
      </c>
      <c r="L81" s="70"/>
    </row>
    <row r="82" spans="4:12" x14ac:dyDescent="0.35">
      <c r="H82" s="42" t="s">
        <v>55</v>
      </c>
      <c r="I82" s="42" t="s">
        <v>56</v>
      </c>
      <c r="J82" s="68">
        <f>'Opening Balance FEB 2026'!F36</f>
        <v>103541</v>
      </c>
      <c r="K82" s="69">
        <v>103541</v>
      </c>
      <c r="L82" s="70">
        <f>J82-K82</f>
        <v>0</v>
      </c>
    </row>
    <row r="83" spans="4:12" x14ac:dyDescent="0.35">
      <c r="H83" s="42" t="s">
        <v>55</v>
      </c>
      <c r="I83" s="42" t="s">
        <v>47</v>
      </c>
      <c r="J83" s="68">
        <f>'Opening Balance FEB 2026'!F37</f>
        <v>6013</v>
      </c>
      <c r="K83" s="69">
        <v>6013</v>
      </c>
      <c r="L83" s="70">
        <f>J83-K83</f>
        <v>0</v>
      </c>
    </row>
    <row r="84" spans="4:12" x14ac:dyDescent="0.35">
      <c r="H84" s="72" t="s">
        <v>45</v>
      </c>
      <c r="I84" s="72"/>
      <c r="J84" s="73">
        <v>109554</v>
      </c>
      <c r="K84" s="68">
        <f>SUM(K81:K83)</f>
        <v>109554</v>
      </c>
      <c r="L84" s="70">
        <f>J84-K84</f>
        <v>0</v>
      </c>
    </row>
    <row r="85" spans="4:12" x14ac:dyDescent="0.35">
      <c r="H85" s="67" t="s">
        <v>42</v>
      </c>
      <c r="I85" s="67" t="s">
        <v>43</v>
      </c>
      <c r="J85" s="67" t="s">
        <v>44</v>
      </c>
      <c r="K85" s="69">
        <v>0</v>
      </c>
      <c r="L85" s="70"/>
    </row>
    <row r="86" spans="4:12" x14ac:dyDescent="0.35">
      <c r="H86" s="42" t="s">
        <v>57</v>
      </c>
      <c r="I86" s="42" t="s">
        <v>47</v>
      </c>
      <c r="J86" s="68">
        <f>'Opening Balance FEB 2026'!F40</f>
        <v>16440</v>
      </c>
      <c r="K86" s="69">
        <v>16440</v>
      </c>
      <c r="L86" s="70">
        <f>J86-K86</f>
        <v>0</v>
      </c>
    </row>
    <row r="87" spans="4:12" x14ac:dyDescent="0.35">
      <c r="H87" s="72" t="s">
        <v>45</v>
      </c>
      <c r="I87" s="72"/>
      <c r="J87" s="73">
        <v>16440</v>
      </c>
      <c r="K87" s="69">
        <f>SUM(K85:K86)</f>
        <v>16440</v>
      </c>
    </row>
    <row r="88" spans="4:12" x14ac:dyDescent="0.35">
      <c r="J88" s="68"/>
    </row>
    <row r="89" spans="4:12" x14ac:dyDescent="0.35">
      <c r="H89" s="83" t="s">
        <v>58</v>
      </c>
      <c r="I89" s="83"/>
      <c r="J89" s="84">
        <f>J87+J84+J80+J76+J72+J64+J56</f>
        <v>13799331</v>
      </c>
    </row>
    <row r="91" spans="4:12" x14ac:dyDescent="0.35">
      <c r="D91" s="85" t="s">
        <v>82</v>
      </c>
      <c r="E91" s="85"/>
      <c r="F91" s="85"/>
      <c r="G91" s="85"/>
      <c r="H91" s="85"/>
    </row>
    <row r="92" spans="4:12" x14ac:dyDescent="0.35">
      <c r="D92" s="78" t="s">
        <v>42</v>
      </c>
      <c r="E92" s="78" t="s">
        <v>43</v>
      </c>
      <c r="F92" s="78" t="s">
        <v>79</v>
      </c>
      <c r="G92" s="78" t="s">
        <v>80</v>
      </c>
      <c r="H92" s="78" t="s">
        <v>81</v>
      </c>
    </row>
    <row r="93" spans="4:12" x14ac:dyDescent="0.35">
      <c r="D93" s="61" t="s">
        <v>14</v>
      </c>
      <c r="E93" s="61" t="s">
        <v>15</v>
      </c>
      <c r="F93" s="86">
        <f>H5</f>
        <v>0</v>
      </c>
      <c r="G93" s="86">
        <f t="shared" ref="G93:G98" si="13">O5</f>
        <v>0</v>
      </c>
      <c r="H93" s="86">
        <f t="shared" ref="H93:H98" si="14">I5</f>
        <v>0</v>
      </c>
    </row>
    <row r="94" spans="4:12" x14ac:dyDescent="0.35">
      <c r="D94" s="61" t="s">
        <v>14</v>
      </c>
      <c r="E94" s="61" t="s">
        <v>17</v>
      </c>
      <c r="F94" s="86">
        <f>H6</f>
        <v>269459</v>
      </c>
      <c r="G94" s="86">
        <f t="shared" si="13"/>
        <v>0</v>
      </c>
      <c r="H94" s="86">
        <f t="shared" si="14"/>
        <v>262977</v>
      </c>
    </row>
    <row r="95" spans="4:12" x14ac:dyDescent="0.35">
      <c r="D95" s="61" t="s">
        <v>14</v>
      </c>
      <c r="E95" s="61" t="s">
        <v>18</v>
      </c>
      <c r="F95" s="86">
        <f>H7</f>
        <v>86320</v>
      </c>
      <c r="G95" s="86">
        <f t="shared" si="13"/>
        <v>50318</v>
      </c>
      <c r="H95" s="86">
        <f t="shared" si="14"/>
        <v>63511</v>
      </c>
    </row>
    <row r="96" spans="4:12" x14ac:dyDescent="0.35">
      <c r="D96" s="61" t="s">
        <v>14</v>
      </c>
      <c r="E96" s="61" t="s">
        <v>19</v>
      </c>
      <c r="F96" s="86">
        <f>H8</f>
        <v>100043</v>
      </c>
      <c r="G96" s="86">
        <f t="shared" si="13"/>
        <v>57269</v>
      </c>
      <c r="H96" s="86">
        <f t="shared" si="14"/>
        <v>85722</v>
      </c>
    </row>
    <row r="97" spans="4:8" x14ac:dyDescent="0.35">
      <c r="D97" s="61" t="s">
        <v>14</v>
      </c>
      <c r="E97" s="61" t="s">
        <v>20</v>
      </c>
      <c r="F97" s="86">
        <f>H9</f>
        <v>110270</v>
      </c>
      <c r="G97" s="86">
        <f t="shared" si="13"/>
        <v>44116</v>
      </c>
      <c r="H97" s="86">
        <f t="shared" si="14"/>
        <v>45284</v>
      </c>
    </row>
    <row r="98" spans="4:8" x14ac:dyDescent="0.35">
      <c r="D98" s="61" t="s">
        <v>14</v>
      </c>
      <c r="E98" s="61" t="s">
        <v>21</v>
      </c>
      <c r="F98" s="86" t="e">
        <f>H10+#REF!</f>
        <v>#REF!</v>
      </c>
      <c r="G98" s="86">
        <f t="shared" si="13"/>
        <v>0</v>
      </c>
      <c r="H98" s="86">
        <f t="shared" si="14"/>
        <v>66589</v>
      </c>
    </row>
    <row r="99" spans="4:8" x14ac:dyDescent="0.35">
      <c r="D99" s="87" t="s">
        <v>45</v>
      </c>
      <c r="E99" s="87"/>
      <c r="F99" s="88" t="e">
        <f>SUM(F93:F98)</f>
        <v>#REF!</v>
      </c>
      <c r="G99" s="88">
        <f t="shared" ref="G99" si="15">SUM(G93:G98)</f>
        <v>151703</v>
      </c>
      <c r="H99" s="88">
        <f>SUM(H93:H98)</f>
        <v>524083</v>
      </c>
    </row>
    <row r="100" spans="4:8" x14ac:dyDescent="0.35">
      <c r="D100" s="78" t="s">
        <v>42</v>
      </c>
      <c r="E100" s="78" t="s">
        <v>43</v>
      </c>
      <c r="F100" s="89" t="s">
        <v>79</v>
      </c>
      <c r="G100" s="89" t="s">
        <v>80</v>
      </c>
      <c r="H100" s="89" t="s">
        <v>81</v>
      </c>
    </row>
    <row r="101" spans="4:8" x14ac:dyDescent="0.35">
      <c r="D101" s="61" t="s">
        <v>46</v>
      </c>
      <c r="E101" s="61" t="s">
        <v>48</v>
      </c>
      <c r="F101" s="86">
        <f>H12</f>
        <v>124585</v>
      </c>
      <c r="G101" s="86">
        <f>O12</f>
        <v>61657</v>
      </c>
      <c r="H101" s="86">
        <f>I12</f>
        <v>34681</v>
      </c>
    </row>
    <row r="102" spans="4:8" x14ac:dyDescent="0.35">
      <c r="D102" s="61" t="s">
        <v>46</v>
      </c>
      <c r="E102" s="61" t="s">
        <v>47</v>
      </c>
      <c r="F102" s="86">
        <f>H13</f>
        <v>178242</v>
      </c>
      <c r="G102" s="86">
        <f>O13</f>
        <v>149436</v>
      </c>
      <c r="H102" s="86">
        <f>I13</f>
        <v>108290</v>
      </c>
    </row>
    <row r="103" spans="4:8" x14ac:dyDescent="0.35">
      <c r="D103" s="61" t="s">
        <v>27</v>
      </c>
      <c r="E103" s="61" t="s">
        <v>47</v>
      </c>
      <c r="F103" s="86">
        <v>0</v>
      </c>
      <c r="G103" s="86">
        <v>0</v>
      </c>
      <c r="H103" s="86">
        <v>0</v>
      </c>
    </row>
    <row r="104" spans="4:8" x14ac:dyDescent="0.35">
      <c r="D104" s="87" t="s">
        <v>45</v>
      </c>
      <c r="E104" s="87"/>
      <c r="F104" s="88">
        <f>SUM(F101:F103)</f>
        <v>302827</v>
      </c>
      <c r="G104" s="88">
        <f>SUM(G101:G103)</f>
        <v>211093</v>
      </c>
      <c r="H104" s="88">
        <f>SUM(H101:H103)</f>
        <v>142971</v>
      </c>
    </row>
    <row r="105" spans="4:8" x14ac:dyDescent="0.35">
      <c r="D105" s="78" t="s">
        <v>42</v>
      </c>
      <c r="E105" s="78" t="s">
        <v>43</v>
      </c>
      <c r="F105" s="89" t="s">
        <v>79</v>
      </c>
      <c r="G105" s="89" t="s">
        <v>80</v>
      </c>
      <c r="H105" s="89" t="s">
        <v>81</v>
      </c>
    </row>
    <row r="106" spans="4:8" x14ac:dyDescent="0.35">
      <c r="D106" s="61" t="s">
        <v>49</v>
      </c>
      <c r="E106" s="61" t="s">
        <v>51</v>
      </c>
      <c r="F106" s="86" t="e">
        <f>#REF!</f>
        <v>#REF!</v>
      </c>
      <c r="G106" s="86" t="e">
        <f>#REF!</f>
        <v>#REF!</v>
      </c>
      <c r="H106" s="86" t="e">
        <f>#REF!</f>
        <v>#REF!</v>
      </c>
    </row>
    <row r="107" spans="4:8" x14ac:dyDescent="0.35">
      <c r="D107" s="61" t="s">
        <v>49</v>
      </c>
      <c r="E107" s="61" t="s">
        <v>18</v>
      </c>
      <c r="F107" s="86">
        <f>H28</f>
        <v>0</v>
      </c>
      <c r="G107" s="86">
        <f>O28</f>
        <v>0</v>
      </c>
      <c r="H107" s="86">
        <v>0</v>
      </c>
    </row>
    <row r="108" spans="4:8" x14ac:dyDescent="0.35">
      <c r="D108" s="61" t="s">
        <v>49</v>
      </c>
      <c r="E108" s="61" t="s">
        <v>50</v>
      </c>
      <c r="F108" s="86" t="e">
        <f>#REF!+#REF!</f>
        <v>#REF!</v>
      </c>
      <c r="G108" s="86" t="e">
        <f>#REF!</f>
        <v>#REF!</v>
      </c>
      <c r="H108" s="86" t="e">
        <f>#REF!+#REF!</f>
        <v>#REF!</v>
      </c>
    </row>
    <row r="109" spans="4:8" x14ac:dyDescent="0.35">
      <c r="D109" s="87" t="s">
        <v>45</v>
      </c>
      <c r="E109" s="87"/>
      <c r="F109" s="88" t="e">
        <f>SUM(F106:F108)</f>
        <v>#REF!</v>
      </c>
      <c r="G109" s="88" t="e">
        <f>SUM(G106:G108)</f>
        <v>#REF!</v>
      </c>
      <c r="H109" s="88" t="e">
        <f>SUM(H106:H108)</f>
        <v>#REF!</v>
      </c>
    </row>
    <row r="110" spans="4:8" x14ac:dyDescent="0.35">
      <c r="D110" s="78" t="s">
        <v>42</v>
      </c>
      <c r="E110" s="78" t="s">
        <v>43</v>
      </c>
      <c r="F110" s="89" t="s">
        <v>79</v>
      </c>
      <c r="G110" s="89" t="s">
        <v>80</v>
      </c>
      <c r="H110" s="89" t="s">
        <v>81</v>
      </c>
    </row>
    <row r="111" spans="4:8" x14ac:dyDescent="0.35">
      <c r="D111" s="61" t="s">
        <v>52</v>
      </c>
      <c r="E111" s="61" t="s">
        <v>53</v>
      </c>
      <c r="F111" s="86">
        <f>H21</f>
        <v>0</v>
      </c>
      <c r="G111" s="86">
        <f>O21</f>
        <v>0</v>
      </c>
      <c r="H111" s="86">
        <f>I21</f>
        <v>0</v>
      </c>
    </row>
    <row r="112" spans="4:8" x14ac:dyDescent="0.35">
      <c r="D112" s="87" t="s">
        <v>45</v>
      </c>
      <c r="E112" s="87"/>
      <c r="F112" s="88">
        <f>SUM(F111)</f>
        <v>0</v>
      </c>
      <c r="G112" s="88">
        <f t="shared" ref="G112" si="16">SUM(G111)</f>
        <v>0</v>
      </c>
      <c r="H112" s="88">
        <f>SUM(H111)</f>
        <v>0</v>
      </c>
    </row>
    <row r="113" spans="4:8" x14ac:dyDescent="0.35">
      <c r="D113" s="78" t="s">
        <v>42</v>
      </c>
      <c r="E113" s="78" t="s">
        <v>43</v>
      </c>
      <c r="F113" s="89" t="s">
        <v>79</v>
      </c>
      <c r="G113" s="89" t="s">
        <v>80</v>
      </c>
      <c r="H113" s="89" t="s">
        <v>81</v>
      </c>
    </row>
    <row r="114" spans="4:8" x14ac:dyDescent="0.35">
      <c r="D114" s="61" t="s">
        <v>54</v>
      </c>
      <c r="E114" s="61" t="s">
        <v>53</v>
      </c>
      <c r="F114" s="86">
        <f>H24</f>
        <v>0</v>
      </c>
      <c r="G114" s="86">
        <f>O24</f>
        <v>0</v>
      </c>
      <c r="H114" s="86">
        <f>I24</f>
        <v>0</v>
      </c>
    </row>
    <row r="115" spans="4:8" x14ac:dyDescent="0.35">
      <c r="D115" s="61" t="s">
        <v>54</v>
      </c>
      <c r="E115" s="61" t="s">
        <v>18</v>
      </c>
      <c r="F115" s="86">
        <f>H25</f>
        <v>0</v>
      </c>
      <c r="G115" s="86">
        <f>O25</f>
        <v>0</v>
      </c>
      <c r="H115" s="86">
        <f>I25</f>
        <v>0</v>
      </c>
    </row>
    <row r="116" spans="4:8" x14ac:dyDescent="0.35">
      <c r="D116" s="87" t="s">
        <v>45</v>
      </c>
      <c r="E116" s="87"/>
      <c r="F116" s="88">
        <f>SUM(F114:F115)</f>
        <v>0</v>
      </c>
      <c r="G116" s="88">
        <f t="shared" ref="G116" si="17">SUM(G114:G115)</f>
        <v>0</v>
      </c>
      <c r="H116" s="88">
        <f>SUM(H114:H115)</f>
        <v>0</v>
      </c>
    </row>
    <row r="117" spans="4:8" x14ac:dyDescent="0.35">
      <c r="D117" s="90"/>
      <c r="E117" s="90"/>
      <c r="F117" s="91" t="e">
        <f>F116+F112+F109+F104+F99</f>
        <v>#REF!</v>
      </c>
      <c r="G117" s="91" t="e">
        <f t="shared" ref="G117" si="18">G116+G112+G109+G104+G99</f>
        <v>#REF!</v>
      </c>
      <c r="H117" s="91" t="e">
        <f>H116+H112+H109+H104+H99</f>
        <v>#REF!</v>
      </c>
    </row>
  </sheetData>
  <mergeCells count="43">
    <mergeCell ref="D70:E70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58:E58"/>
    <mergeCell ref="K47:L47"/>
    <mergeCell ref="M47:O47"/>
    <mergeCell ref="H48:J48"/>
    <mergeCell ref="K48:K49"/>
    <mergeCell ref="C51:E51"/>
    <mergeCell ref="C52:E52"/>
    <mergeCell ref="D53:E53"/>
    <mergeCell ref="D54:E54"/>
    <mergeCell ref="D55:E55"/>
    <mergeCell ref="D56:E56"/>
    <mergeCell ref="D57:E57"/>
    <mergeCell ref="K44:L44"/>
    <mergeCell ref="M44:O44"/>
    <mergeCell ref="K45:L45"/>
    <mergeCell ref="M45:O45"/>
    <mergeCell ref="K46:L46"/>
    <mergeCell ref="M46:O46"/>
    <mergeCell ref="M43:O43"/>
    <mergeCell ref="C2:O2"/>
    <mergeCell ref="C3:O3"/>
    <mergeCell ref="H33:I33"/>
    <mergeCell ref="K34:L34"/>
    <mergeCell ref="M34:O34"/>
    <mergeCell ref="C35:D35"/>
    <mergeCell ref="K35:L35"/>
    <mergeCell ref="K36:L36"/>
    <mergeCell ref="K37:L37"/>
    <mergeCell ref="K38:L38"/>
    <mergeCell ref="K39:L39"/>
    <mergeCell ref="K43:L43"/>
  </mergeCells>
  <pageMargins left="0.7" right="0.7" top="0.75" bottom="0.75" header="0.3" footer="0.3"/>
  <pageSetup orientation="portrait" verticalDpi="0" r:id="rId1"/>
  <ignoredErrors>
    <ignoredError sqref="M18:M2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8"/>
  <sheetViews>
    <sheetView zoomScale="60" zoomScaleNormal="60" workbookViewId="0">
      <selection activeCell="J29" sqref="J29"/>
    </sheetView>
  </sheetViews>
  <sheetFormatPr defaultRowHeight="21" x14ac:dyDescent="0.35"/>
  <cols>
    <col min="1" max="1" width="5.5703125" style="42" customWidth="1"/>
    <col min="2" max="2" width="0.140625" style="42" hidden="1" customWidth="1"/>
    <col min="3" max="3" width="20.85546875" style="42" customWidth="1"/>
    <col min="4" max="4" width="26.42578125" style="42" customWidth="1"/>
    <col min="5" max="5" width="18.140625" style="42" customWidth="1"/>
    <col min="6" max="6" width="20.85546875" style="42" customWidth="1"/>
    <col min="7" max="7" width="21" style="42" customWidth="1"/>
    <col min="8" max="8" width="22.85546875" style="42" customWidth="1"/>
    <col min="9" max="9" width="23.5703125" style="42" customWidth="1"/>
    <col min="10" max="10" width="21.42578125" style="42" customWidth="1"/>
    <col min="11" max="11" width="21.28515625" style="42" customWidth="1"/>
    <col min="12" max="12" width="22.5703125" style="42" customWidth="1"/>
    <col min="13" max="13" width="26.42578125" style="42" customWidth="1"/>
    <col min="14" max="14" width="17.5703125" style="42" customWidth="1"/>
    <col min="15" max="15" width="22" style="42" customWidth="1"/>
    <col min="16" max="16" width="7.5703125" style="42" customWidth="1"/>
    <col min="17" max="17" width="14.28515625" style="42" bestFit="1" customWidth="1"/>
    <col min="18" max="18" width="11.42578125" style="42" customWidth="1"/>
    <col min="19" max="16384" width="9.140625" style="42"/>
  </cols>
  <sheetData>
    <row r="2" spans="1:16" x14ac:dyDescent="0.35">
      <c r="C2" s="194">
        <v>46089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6"/>
    </row>
    <row r="3" spans="1:16" x14ac:dyDescent="0.35">
      <c r="C3" s="197" t="s">
        <v>0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6" ht="63" x14ac:dyDescent="0.35">
      <c r="A4" s="99"/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  <c r="J4" s="40" t="s">
        <v>8</v>
      </c>
      <c r="K4" s="43" t="s">
        <v>9</v>
      </c>
      <c r="L4" s="43" t="s">
        <v>10</v>
      </c>
      <c r="M4" s="44" t="s">
        <v>11</v>
      </c>
      <c r="N4" s="45" t="s">
        <v>12</v>
      </c>
      <c r="O4" s="40" t="s">
        <v>13</v>
      </c>
    </row>
    <row r="5" spans="1:16" x14ac:dyDescent="0.35">
      <c r="A5" s="46"/>
      <c r="C5" s="37" t="s">
        <v>14</v>
      </c>
      <c r="D5" s="38" t="s">
        <v>15</v>
      </c>
      <c r="E5" s="39"/>
      <c r="F5" s="27">
        <v>0</v>
      </c>
      <c r="G5" s="27">
        <v>0</v>
      </c>
      <c r="H5" s="28">
        <f>F5-G5</f>
        <v>0</v>
      </c>
      <c r="I5" s="28">
        <f>H5-J5</f>
        <v>0</v>
      </c>
      <c r="J5" s="25">
        <v>0</v>
      </c>
      <c r="K5" s="29">
        <v>0</v>
      </c>
      <c r="L5" s="25">
        <v>0</v>
      </c>
      <c r="M5" s="27">
        <f>'07-03-2026'!J50</f>
        <v>322198</v>
      </c>
      <c r="N5" s="29">
        <v>0</v>
      </c>
      <c r="O5" s="30">
        <v>31765</v>
      </c>
      <c r="P5" s="47"/>
    </row>
    <row r="6" spans="1:16" x14ac:dyDescent="0.35">
      <c r="A6" s="46"/>
      <c r="C6" s="37" t="s">
        <v>14</v>
      </c>
      <c r="D6" s="38" t="s">
        <v>17</v>
      </c>
      <c r="E6" s="39" t="s">
        <v>86</v>
      </c>
      <c r="F6" s="27">
        <v>615746</v>
      </c>
      <c r="G6" s="27">
        <v>0</v>
      </c>
      <c r="H6" s="28">
        <f t="shared" ref="H6:H10" si="0">F6-G6</f>
        <v>615746</v>
      </c>
      <c r="I6" s="28">
        <f t="shared" ref="I6:I10" si="1">H6-J6</f>
        <v>615746</v>
      </c>
      <c r="J6" s="25">
        <v>0</v>
      </c>
      <c r="K6" s="29">
        <v>0</v>
      </c>
      <c r="L6" s="25">
        <v>0</v>
      </c>
      <c r="M6" s="27">
        <f>'07-03-2026'!J51</f>
        <v>3643078</v>
      </c>
      <c r="N6" s="29">
        <v>0</v>
      </c>
      <c r="O6" s="30">
        <v>618534</v>
      </c>
    </row>
    <row r="7" spans="1:16" x14ac:dyDescent="0.35">
      <c r="A7" s="46"/>
      <c r="C7" s="37" t="s">
        <v>14</v>
      </c>
      <c r="D7" s="38" t="s">
        <v>18</v>
      </c>
      <c r="E7" s="39" t="s">
        <v>98</v>
      </c>
      <c r="F7" s="27">
        <v>91897</v>
      </c>
      <c r="G7" s="27">
        <v>0</v>
      </c>
      <c r="H7" s="28">
        <f t="shared" si="0"/>
        <v>91897</v>
      </c>
      <c r="I7" s="28">
        <f t="shared" si="1"/>
        <v>72571</v>
      </c>
      <c r="J7" s="25">
        <v>19326</v>
      </c>
      <c r="K7" s="29">
        <v>0</v>
      </c>
      <c r="L7" s="25">
        <v>0</v>
      </c>
      <c r="M7" s="27">
        <f>'07-03-2026'!J52</f>
        <v>1240099</v>
      </c>
      <c r="N7" s="29">
        <v>0</v>
      </c>
      <c r="O7" s="30">
        <v>80456</v>
      </c>
    </row>
    <row r="8" spans="1:16" x14ac:dyDescent="0.35">
      <c r="A8" s="46"/>
      <c r="C8" s="37" t="s">
        <v>14</v>
      </c>
      <c r="D8" s="38" t="s">
        <v>19</v>
      </c>
      <c r="E8" s="39" t="s">
        <v>95</v>
      </c>
      <c r="F8" s="27">
        <v>165963</v>
      </c>
      <c r="G8" s="27">
        <v>0</v>
      </c>
      <c r="H8" s="28">
        <f t="shared" si="0"/>
        <v>165963</v>
      </c>
      <c r="I8" s="28">
        <f t="shared" si="1"/>
        <v>153668</v>
      </c>
      <c r="J8" s="25">
        <v>12295</v>
      </c>
      <c r="K8" s="29">
        <v>0</v>
      </c>
      <c r="L8" s="25">
        <v>0</v>
      </c>
      <c r="M8" s="27">
        <f>'07-03-2026'!J53</f>
        <v>903019</v>
      </c>
      <c r="N8" s="29">
        <v>0</v>
      </c>
      <c r="O8" s="30">
        <v>58892</v>
      </c>
    </row>
    <row r="9" spans="1:16" x14ac:dyDescent="0.35">
      <c r="A9" s="46"/>
      <c r="C9" s="37" t="s">
        <v>14</v>
      </c>
      <c r="D9" s="38" t="s">
        <v>20</v>
      </c>
      <c r="E9" s="39" t="s">
        <v>97</v>
      </c>
      <c r="F9" s="27">
        <v>74957</v>
      </c>
      <c r="G9" s="27">
        <v>0</v>
      </c>
      <c r="H9" s="28">
        <f t="shared" si="0"/>
        <v>74957</v>
      </c>
      <c r="I9" s="28">
        <f t="shared" si="1"/>
        <v>66644</v>
      </c>
      <c r="J9" s="25">
        <v>8313</v>
      </c>
      <c r="K9" s="29">
        <v>0</v>
      </c>
      <c r="L9" s="25">
        <v>2000</v>
      </c>
      <c r="M9" s="27">
        <f>'07-03-2026'!J54</f>
        <v>1307442</v>
      </c>
      <c r="N9" s="29">
        <v>0</v>
      </c>
      <c r="O9" s="30">
        <v>25701</v>
      </c>
    </row>
    <row r="10" spans="1:16" x14ac:dyDescent="0.35">
      <c r="A10" s="46"/>
      <c r="C10" s="37" t="s">
        <v>14</v>
      </c>
      <c r="D10" s="38" t="s">
        <v>21</v>
      </c>
      <c r="E10" s="39" t="s">
        <v>97</v>
      </c>
      <c r="F10" s="27">
        <v>69330</v>
      </c>
      <c r="G10" s="27">
        <v>2662</v>
      </c>
      <c r="H10" s="28">
        <f t="shared" si="0"/>
        <v>66668</v>
      </c>
      <c r="I10" s="28">
        <f t="shared" si="1"/>
        <v>42848</v>
      </c>
      <c r="J10" s="25">
        <v>23820</v>
      </c>
      <c r="K10" s="29">
        <v>0</v>
      </c>
      <c r="L10" s="25">
        <v>0</v>
      </c>
      <c r="M10" s="27">
        <f>'07-03-2026'!J55</f>
        <v>516316</v>
      </c>
      <c r="N10" s="29">
        <v>0</v>
      </c>
      <c r="O10" s="30">
        <v>49504</v>
      </c>
    </row>
    <row r="11" spans="1:16" x14ac:dyDescent="0.35">
      <c r="A11" s="48"/>
      <c r="C11" s="40" t="s">
        <v>22</v>
      </c>
      <c r="D11" s="40"/>
      <c r="E11" s="40"/>
      <c r="F11" s="31">
        <f t="shared" ref="F11:O11" si="2">SUM(F5:F10)</f>
        <v>1017893</v>
      </c>
      <c r="G11" s="31">
        <f t="shared" si="2"/>
        <v>2662</v>
      </c>
      <c r="H11" s="31">
        <f t="shared" si="2"/>
        <v>1015231</v>
      </c>
      <c r="I11" s="31">
        <f t="shared" si="2"/>
        <v>951477</v>
      </c>
      <c r="J11" s="31">
        <f>SUM(J5:J10)</f>
        <v>63754</v>
      </c>
      <c r="K11" s="31">
        <f t="shared" si="2"/>
        <v>0</v>
      </c>
      <c r="L11" s="31">
        <f t="shared" si="2"/>
        <v>2000</v>
      </c>
      <c r="M11" s="31">
        <f t="shared" si="2"/>
        <v>7932152</v>
      </c>
      <c r="N11" s="31">
        <f t="shared" si="2"/>
        <v>0</v>
      </c>
      <c r="O11" s="31">
        <f t="shared" si="2"/>
        <v>864852</v>
      </c>
    </row>
    <row r="12" spans="1:16" x14ac:dyDescent="0.35">
      <c r="C12" s="37" t="s">
        <v>23</v>
      </c>
      <c r="D12" s="38" t="s">
        <v>24</v>
      </c>
      <c r="E12" s="39" t="s">
        <v>85</v>
      </c>
      <c r="F12" s="27">
        <v>91895</v>
      </c>
      <c r="G12" s="27">
        <v>1056</v>
      </c>
      <c r="H12" s="28">
        <f t="shared" ref="H12:H31" si="3">F12-G12</f>
        <v>90839</v>
      </c>
      <c r="I12" s="28">
        <f t="shared" ref="I12:I31" si="4">H12-J12</f>
        <v>69709</v>
      </c>
      <c r="J12" s="25">
        <v>21130</v>
      </c>
      <c r="K12" s="29">
        <v>0</v>
      </c>
      <c r="L12" s="25">
        <v>0</v>
      </c>
      <c r="M12" s="27">
        <f>'07-03-2026'!J59</f>
        <v>459174</v>
      </c>
      <c r="N12" s="29">
        <v>0</v>
      </c>
      <c r="O12" s="25">
        <v>59834</v>
      </c>
    </row>
    <row r="13" spans="1:16" x14ac:dyDescent="0.35">
      <c r="C13" s="37" t="s">
        <v>23</v>
      </c>
      <c r="D13" s="38" t="s">
        <v>24</v>
      </c>
      <c r="E13" s="39" t="s">
        <v>93</v>
      </c>
      <c r="F13" s="27">
        <v>844</v>
      </c>
      <c r="G13" s="27">
        <v>0</v>
      </c>
      <c r="H13" s="28">
        <f t="shared" si="3"/>
        <v>844</v>
      </c>
      <c r="I13" s="28">
        <f t="shared" si="4"/>
        <v>0</v>
      </c>
      <c r="J13" s="25">
        <v>844</v>
      </c>
      <c r="K13" s="29"/>
      <c r="L13" s="25"/>
      <c r="M13" s="27"/>
      <c r="N13" s="29"/>
      <c r="O13" s="25"/>
    </row>
    <row r="14" spans="1:16" x14ac:dyDescent="0.35">
      <c r="C14" s="37" t="s">
        <v>23</v>
      </c>
      <c r="D14" s="38" t="s">
        <v>25</v>
      </c>
      <c r="E14" s="39" t="s">
        <v>85</v>
      </c>
      <c r="F14" s="27">
        <v>183851</v>
      </c>
      <c r="G14" s="27">
        <v>1842</v>
      </c>
      <c r="H14" s="28">
        <f t="shared" si="3"/>
        <v>182009</v>
      </c>
      <c r="I14" s="28">
        <f t="shared" si="4"/>
        <v>122440</v>
      </c>
      <c r="J14" s="25">
        <v>59569</v>
      </c>
      <c r="K14" s="29">
        <v>0</v>
      </c>
      <c r="L14" s="25">
        <v>10394</v>
      </c>
      <c r="M14" s="27">
        <f>'07-03-2026'!J60</f>
        <v>1545602</v>
      </c>
      <c r="N14" s="29">
        <v>0</v>
      </c>
      <c r="O14" s="25">
        <v>0</v>
      </c>
    </row>
    <row r="15" spans="1:16" x14ac:dyDescent="0.35">
      <c r="C15" s="37" t="s">
        <v>23</v>
      </c>
      <c r="D15" s="38" t="s">
        <v>25</v>
      </c>
      <c r="E15" s="39" t="s">
        <v>93</v>
      </c>
      <c r="F15" s="27">
        <v>3207</v>
      </c>
      <c r="G15" s="27">
        <v>0</v>
      </c>
      <c r="H15" s="28">
        <f t="shared" si="3"/>
        <v>3207</v>
      </c>
      <c r="I15" s="28">
        <f t="shared" si="4"/>
        <v>0</v>
      </c>
      <c r="J15" s="25">
        <v>3207</v>
      </c>
      <c r="K15" s="29"/>
      <c r="L15" s="25"/>
      <c r="M15" s="27"/>
      <c r="N15" s="29"/>
      <c r="O15" s="25"/>
    </row>
    <row r="16" spans="1:16" x14ac:dyDescent="0.35">
      <c r="C16" s="37" t="s">
        <v>23</v>
      </c>
      <c r="D16" s="38" t="s">
        <v>26</v>
      </c>
      <c r="E16" s="39"/>
      <c r="F16" s="27">
        <v>0</v>
      </c>
      <c r="G16" s="27">
        <v>0</v>
      </c>
      <c r="H16" s="28">
        <f t="shared" si="3"/>
        <v>0</v>
      </c>
      <c r="I16" s="28">
        <f t="shared" si="4"/>
        <v>0</v>
      </c>
      <c r="J16" s="25">
        <v>0</v>
      </c>
      <c r="K16" s="29">
        <v>0</v>
      </c>
      <c r="L16" s="25">
        <v>0</v>
      </c>
      <c r="M16" s="27">
        <f>'07-03-2026'!J61</f>
        <v>515612</v>
      </c>
      <c r="N16" s="29">
        <v>0</v>
      </c>
      <c r="O16" s="25">
        <v>90000</v>
      </c>
    </row>
    <row r="17" spans="3:15" x14ac:dyDescent="0.35">
      <c r="C17" s="37" t="s">
        <v>23</v>
      </c>
      <c r="D17" s="38" t="s">
        <v>20</v>
      </c>
      <c r="E17" s="39" t="s">
        <v>97</v>
      </c>
      <c r="F17" s="27">
        <v>36281</v>
      </c>
      <c r="G17" s="27">
        <v>0</v>
      </c>
      <c r="H17" s="28">
        <f t="shared" si="3"/>
        <v>36281</v>
      </c>
      <c r="I17" s="28">
        <f t="shared" si="4"/>
        <v>0</v>
      </c>
      <c r="J17" s="25">
        <v>36281</v>
      </c>
      <c r="K17" s="29">
        <v>0</v>
      </c>
      <c r="L17" s="25">
        <v>0</v>
      </c>
      <c r="M17" s="27">
        <v>0</v>
      </c>
      <c r="N17" s="29">
        <v>0</v>
      </c>
      <c r="O17" s="25">
        <v>0</v>
      </c>
    </row>
    <row r="18" spans="3:15" x14ac:dyDescent="0.35">
      <c r="C18" s="37" t="s">
        <v>23</v>
      </c>
      <c r="D18" s="38" t="s">
        <v>18</v>
      </c>
      <c r="E18" s="39"/>
      <c r="F18" s="27">
        <v>0</v>
      </c>
      <c r="G18" s="27">
        <v>0</v>
      </c>
      <c r="H18" s="28">
        <f t="shared" si="3"/>
        <v>0</v>
      </c>
      <c r="I18" s="28">
        <f t="shared" si="4"/>
        <v>0</v>
      </c>
      <c r="J18" s="25">
        <v>0</v>
      </c>
      <c r="K18" s="29">
        <v>0</v>
      </c>
      <c r="L18" s="25">
        <v>0</v>
      </c>
      <c r="M18" s="27">
        <v>0</v>
      </c>
      <c r="N18" s="29">
        <v>0</v>
      </c>
      <c r="O18" s="25">
        <v>0</v>
      </c>
    </row>
    <row r="19" spans="3:15" x14ac:dyDescent="0.35">
      <c r="C19" s="37" t="s">
        <v>23</v>
      </c>
      <c r="D19" s="40"/>
      <c r="E19" s="40"/>
      <c r="F19" s="31">
        <f>SUM(F12:F18)</f>
        <v>316078</v>
      </c>
      <c r="G19" s="31">
        <f>SUM(G12:G18)</f>
        <v>2898</v>
      </c>
      <c r="H19" s="31">
        <f>SUM(H12:H17)</f>
        <v>313180</v>
      </c>
      <c r="I19" s="31">
        <f>SUM(I12:I17)</f>
        <v>192149</v>
      </c>
      <c r="J19" s="31">
        <f>SUM(J12:J18)</f>
        <v>121031</v>
      </c>
      <c r="K19" s="31">
        <f>SUM(K12:K17)</f>
        <v>0</v>
      </c>
      <c r="L19" s="31">
        <f>SUM(L12:L17)</f>
        <v>10394</v>
      </c>
      <c r="M19" s="31">
        <f>SUM(M12:M18)</f>
        <v>2520388</v>
      </c>
      <c r="N19" s="31">
        <f>SUM(N12:N17)</f>
        <v>0</v>
      </c>
      <c r="O19" s="31">
        <f>SUM(O12:O18)</f>
        <v>149834</v>
      </c>
    </row>
    <row r="20" spans="3:15" x14ac:dyDescent="0.35">
      <c r="C20" s="37" t="s">
        <v>27</v>
      </c>
      <c r="D20" s="38" t="s">
        <v>25</v>
      </c>
      <c r="E20" s="39" t="s">
        <v>16</v>
      </c>
      <c r="F20" s="27">
        <v>0</v>
      </c>
      <c r="G20" s="27">
        <v>0</v>
      </c>
      <c r="H20" s="28">
        <f t="shared" si="3"/>
        <v>0</v>
      </c>
      <c r="I20" s="28">
        <f t="shared" si="4"/>
        <v>0</v>
      </c>
      <c r="J20" s="25">
        <v>0</v>
      </c>
      <c r="K20" s="29">
        <v>0</v>
      </c>
      <c r="L20" s="25">
        <v>0</v>
      </c>
      <c r="M20" s="27">
        <f>'07-03-2026'!J63</f>
        <v>51257</v>
      </c>
      <c r="N20" s="29">
        <v>0</v>
      </c>
      <c r="O20" s="25">
        <v>0</v>
      </c>
    </row>
    <row r="21" spans="3:15" x14ac:dyDescent="0.35">
      <c r="C21" s="40"/>
      <c r="D21" s="40"/>
      <c r="E21" s="40"/>
      <c r="F21" s="31">
        <f>SUM(F20)</f>
        <v>0</v>
      </c>
      <c r="G21" s="31">
        <f t="shared" ref="G21:O21" si="5">SUM(G20)</f>
        <v>0</v>
      </c>
      <c r="H21" s="31">
        <f t="shared" si="5"/>
        <v>0</v>
      </c>
      <c r="I21" s="31">
        <f t="shared" si="5"/>
        <v>0</v>
      </c>
      <c r="J21" s="31">
        <f t="shared" si="5"/>
        <v>0</v>
      </c>
      <c r="K21" s="31">
        <f t="shared" si="5"/>
        <v>0</v>
      </c>
      <c r="L21" s="31">
        <f t="shared" si="5"/>
        <v>0</v>
      </c>
      <c r="M21" s="31">
        <f t="shared" si="5"/>
        <v>51257</v>
      </c>
      <c r="N21" s="31">
        <f t="shared" si="5"/>
        <v>0</v>
      </c>
      <c r="O21" s="31">
        <f t="shared" si="5"/>
        <v>0</v>
      </c>
    </row>
    <row r="22" spans="3:15" x14ac:dyDescent="0.35">
      <c r="C22" s="37" t="s">
        <v>28</v>
      </c>
      <c r="D22" s="38" t="s">
        <v>29</v>
      </c>
      <c r="E22" s="39" t="s">
        <v>16</v>
      </c>
      <c r="F22" s="27">
        <v>0</v>
      </c>
      <c r="G22" s="27">
        <v>0</v>
      </c>
      <c r="H22" s="28">
        <f t="shared" si="3"/>
        <v>0</v>
      </c>
      <c r="I22" s="28">
        <f t="shared" si="4"/>
        <v>0</v>
      </c>
      <c r="J22" s="25">
        <v>0</v>
      </c>
      <c r="K22" s="29">
        <v>0</v>
      </c>
      <c r="L22" s="25">
        <v>0</v>
      </c>
      <c r="M22" s="27">
        <f>'07-03-2026'!J74</f>
        <v>33969</v>
      </c>
      <c r="N22" s="29">
        <v>0</v>
      </c>
      <c r="O22" s="25">
        <v>0</v>
      </c>
    </row>
    <row r="23" spans="3:15" x14ac:dyDescent="0.35">
      <c r="C23" s="37" t="s">
        <v>28</v>
      </c>
      <c r="D23" s="38" t="s">
        <v>25</v>
      </c>
      <c r="E23" s="39" t="s">
        <v>16</v>
      </c>
      <c r="F23" s="27">
        <v>0</v>
      </c>
      <c r="G23" s="27">
        <v>0</v>
      </c>
      <c r="H23" s="28">
        <f t="shared" si="3"/>
        <v>0</v>
      </c>
      <c r="I23" s="28">
        <f t="shared" si="4"/>
        <v>0</v>
      </c>
      <c r="J23" s="25">
        <v>0</v>
      </c>
      <c r="K23" s="29">
        <v>0</v>
      </c>
      <c r="L23" s="25">
        <v>0</v>
      </c>
      <c r="M23" s="27">
        <f>'07-03-2026'!J75</f>
        <v>18969</v>
      </c>
      <c r="N23" s="29">
        <v>0</v>
      </c>
      <c r="O23" s="25">
        <v>0</v>
      </c>
    </row>
    <row r="24" spans="3:15" x14ac:dyDescent="0.35">
      <c r="C24" s="40" t="s">
        <v>22</v>
      </c>
      <c r="D24" s="40"/>
      <c r="E24" s="40"/>
      <c r="F24" s="31">
        <f t="shared" ref="F24:L24" si="6">SUM(F22:F23)</f>
        <v>0</v>
      </c>
      <c r="G24" s="31">
        <f t="shared" si="6"/>
        <v>0</v>
      </c>
      <c r="H24" s="31">
        <f t="shared" si="6"/>
        <v>0</v>
      </c>
      <c r="I24" s="31">
        <f t="shared" si="6"/>
        <v>0</v>
      </c>
      <c r="J24" s="31">
        <f t="shared" si="6"/>
        <v>0</v>
      </c>
      <c r="K24" s="31">
        <f>SUM(K22:K23)</f>
        <v>0</v>
      </c>
      <c r="L24" s="31">
        <f t="shared" si="6"/>
        <v>0</v>
      </c>
      <c r="M24" s="31">
        <f>SUM(F24:L24)</f>
        <v>0</v>
      </c>
      <c r="N24" s="31">
        <f t="shared" ref="N24:O24" si="7">SUM(N22:N23)</f>
        <v>0</v>
      </c>
      <c r="O24" s="31">
        <f t="shared" si="7"/>
        <v>0</v>
      </c>
    </row>
    <row r="25" spans="3:15" x14ac:dyDescent="0.35">
      <c r="C25" s="37" t="s">
        <v>30</v>
      </c>
      <c r="D25" s="38" t="s">
        <v>29</v>
      </c>
      <c r="E25" s="39" t="s">
        <v>16</v>
      </c>
      <c r="F25" s="32">
        <v>0</v>
      </c>
      <c r="G25" s="32">
        <v>0</v>
      </c>
      <c r="H25" s="28">
        <f t="shared" si="3"/>
        <v>0</v>
      </c>
      <c r="I25" s="28">
        <f t="shared" si="4"/>
        <v>0</v>
      </c>
      <c r="J25" s="33">
        <v>0</v>
      </c>
      <c r="K25" s="34">
        <v>0</v>
      </c>
      <c r="L25" s="33">
        <v>0</v>
      </c>
      <c r="M25" s="32">
        <f>'07-03-2026'!J78</f>
        <v>89658</v>
      </c>
      <c r="N25" s="34">
        <v>0</v>
      </c>
      <c r="O25" s="33">
        <v>0</v>
      </c>
    </row>
    <row r="26" spans="3:15" x14ac:dyDescent="0.35">
      <c r="C26" s="37" t="s">
        <v>30</v>
      </c>
      <c r="D26" s="38" t="s">
        <v>31</v>
      </c>
      <c r="E26" s="39" t="s">
        <v>16</v>
      </c>
      <c r="F26" s="32">
        <v>0</v>
      </c>
      <c r="G26" s="32">
        <v>0</v>
      </c>
      <c r="H26" s="28">
        <f t="shared" si="3"/>
        <v>0</v>
      </c>
      <c r="I26" s="28">
        <f t="shared" si="4"/>
        <v>0</v>
      </c>
      <c r="J26" s="33">
        <v>0</v>
      </c>
      <c r="K26" s="34">
        <v>0</v>
      </c>
      <c r="L26" s="33">
        <v>0</v>
      </c>
      <c r="M26" s="32">
        <f>'07-03-2026'!J79</f>
        <v>17000</v>
      </c>
      <c r="N26" s="34">
        <v>0</v>
      </c>
      <c r="O26" s="33">
        <v>0</v>
      </c>
    </row>
    <row r="27" spans="3:15" x14ac:dyDescent="0.35">
      <c r="C27" s="40" t="s">
        <v>22</v>
      </c>
      <c r="D27" s="40"/>
      <c r="E27" s="40"/>
      <c r="F27" s="31">
        <f>SUM(F25:F26)</f>
        <v>0</v>
      </c>
      <c r="G27" s="31">
        <f t="shared" ref="G27:O27" si="8">SUM(G25:G26)</f>
        <v>0</v>
      </c>
      <c r="H27" s="31">
        <f t="shared" si="8"/>
        <v>0</v>
      </c>
      <c r="I27" s="31">
        <f t="shared" si="8"/>
        <v>0</v>
      </c>
      <c r="J27" s="31">
        <f t="shared" si="8"/>
        <v>0</v>
      </c>
      <c r="K27" s="31">
        <f t="shared" si="8"/>
        <v>0</v>
      </c>
      <c r="L27" s="31">
        <f t="shared" si="8"/>
        <v>0</v>
      </c>
      <c r="M27" s="31">
        <f t="shared" si="8"/>
        <v>106658</v>
      </c>
      <c r="N27" s="31">
        <f t="shared" si="8"/>
        <v>0</v>
      </c>
      <c r="O27" s="31">
        <f t="shared" si="8"/>
        <v>0</v>
      </c>
    </row>
    <row r="28" spans="3:15" x14ac:dyDescent="0.35">
      <c r="C28" s="37" t="s">
        <v>32</v>
      </c>
      <c r="D28" s="38" t="s">
        <v>33</v>
      </c>
      <c r="E28" s="39" t="s">
        <v>95</v>
      </c>
      <c r="F28" s="35">
        <v>54615</v>
      </c>
      <c r="G28" s="27">
        <v>0</v>
      </c>
      <c r="H28" s="28">
        <f t="shared" si="3"/>
        <v>54615</v>
      </c>
      <c r="I28" s="28">
        <f t="shared" si="4"/>
        <v>54615</v>
      </c>
      <c r="J28" s="25">
        <v>0</v>
      </c>
      <c r="K28" s="29">
        <v>0</v>
      </c>
      <c r="L28" s="25">
        <v>0</v>
      </c>
      <c r="M28" s="27">
        <f>'07-03-2026'!J66</f>
        <v>1409002</v>
      </c>
      <c r="N28" s="29">
        <v>0</v>
      </c>
      <c r="O28" s="25">
        <v>31589</v>
      </c>
    </row>
    <row r="29" spans="3:15" x14ac:dyDescent="0.35">
      <c r="C29" s="37" t="s">
        <v>32</v>
      </c>
      <c r="D29" s="38" t="s">
        <v>31</v>
      </c>
      <c r="E29" s="39" t="s">
        <v>16</v>
      </c>
      <c r="F29" s="35">
        <v>0</v>
      </c>
      <c r="G29" s="27">
        <v>0</v>
      </c>
      <c r="H29" s="28">
        <f t="shared" si="3"/>
        <v>0</v>
      </c>
      <c r="I29" s="28">
        <f t="shared" si="4"/>
        <v>0</v>
      </c>
      <c r="J29" s="25">
        <v>0</v>
      </c>
      <c r="K29" s="29">
        <v>0</v>
      </c>
      <c r="L29" s="25">
        <v>0</v>
      </c>
      <c r="M29" s="27">
        <f>'07-03-2026'!J67</f>
        <v>174473</v>
      </c>
      <c r="N29" s="29">
        <v>0</v>
      </c>
      <c r="O29" s="25">
        <v>0</v>
      </c>
    </row>
    <row r="30" spans="3:15" x14ac:dyDescent="0.35">
      <c r="C30" s="37" t="s">
        <v>32</v>
      </c>
      <c r="D30" s="38" t="s">
        <v>26</v>
      </c>
      <c r="E30" s="39" t="s">
        <v>16</v>
      </c>
      <c r="F30" s="35">
        <v>0</v>
      </c>
      <c r="G30" s="27">
        <v>0</v>
      </c>
      <c r="H30" s="28">
        <f t="shared" si="3"/>
        <v>0</v>
      </c>
      <c r="I30" s="28">
        <f t="shared" si="4"/>
        <v>0</v>
      </c>
      <c r="J30" s="25">
        <v>0</v>
      </c>
      <c r="K30" s="29">
        <v>0</v>
      </c>
      <c r="L30" s="25">
        <v>0</v>
      </c>
      <c r="M30" s="27">
        <f>'07-03-2026'!J68</f>
        <v>35126</v>
      </c>
      <c r="N30" s="29">
        <v>0</v>
      </c>
      <c r="O30" s="25">
        <v>0</v>
      </c>
    </row>
    <row r="31" spans="3:15" x14ac:dyDescent="0.35">
      <c r="C31" s="37" t="s">
        <v>32</v>
      </c>
      <c r="D31" s="38" t="s">
        <v>34</v>
      </c>
      <c r="E31" s="39" t="s">
        <v>84</v>
      </c>
      <c r="F31" s="35">
        <v>183767</v>
      </c>
      <c r="G31" s="27">
        <v>20640</v>
      </c>
      <c r="H31" s="28">
        <f t="shared" si="3"/>
        <v>163127</v>
      </c>
      <c r="I31" s="28">
        <f t="shared" si="4"/>
        <v>160131</v>
      </c>
      <c r="J31" s="25">
        <v>2996</v>
      </c>
      <c r="K31" s="29">
        <v>0</v>
      </c>
      <c r="L31" s="25">
        <v>0</v>
      </c>
      <c r="M31" s="27">
        <f>'07-03-2026'!J69</f>
        <v>1293567</v>
      </c>
      <c r="N31" s="29">
        <v>0</v>
      </c>
      <c r="O31" s="25">
        <v>34385</v>
      </c>
    </row>
    <row r="32" spans="3:15" x14ac:dyDescent="0.35">
      <c r="C32" s="40" t="s">
        <v>22</v>
      </c>
      <c r="D32" s="40"/>
      <c r="E32" s="40"/>
      <c r="F32" s="31">
        <f>SUM(F28:F31)</f>
        <v>238382</v>
      </c>
      <c r="G32" s="31">
        <f t="shared" ref="G32:O32" si="9">SUM(G28:G31)</f>
        <v>20640</v>
      </c>
      <c r="H32" s="31">
        <f t="shared" si="9"/>
        <v>217742</v>
      </c>
      <c r="I32" s="31">
        <f t="shared" si="9"/>
        <v>214746</v>
      </c>
      <c r="J32" s="31">
        <f t="shared" si="9"/>
        <v>2996</v>
      </c>
      <c r="K32" s="31">
        <f t="shared" si="9"/>
        <v>0</v>
      </c>
      <c r="L32" s="31">
        <f t="shared" si="9"/>
        <v>0</v>
      </c>
      <c r="M32" s="31">
        <f t="shared" si="9"/>
        <v>2912168</v>
      </c>
      <c r="N32" s="31">
        <f t="shared" si="9"/>
        <v>0</v>
      </c>
      <c r="O32" s="31">
        <f t="shared" si="9"/>
        <v>65974</v>
      </c>
    </row>
    <row r="33" spans="3:15" x14ac:dyDescent="0.35">
      <c r="C33" s="41" t="s">
        <v>35</v>
      </c>
      <c r="D33" s="41"/>
      <c r="E33" s="41"/>
      <c r="F33" s="36">
        <f t="shared" ref="F33:O33" si="10">F32+F27+F24+F21+F19+F11</f>
        <v>1572353</v>
      </c>
      <c r="G33" s="36">
        <f t="shared" si="10"/>
        <v>26200</v>
      </c>
      <c r="H33" s="36">
        <f t="shared" si="10"/>
        <v>1546153</v>
      </c>
      <c r="I33" s="36">
        <f t="shared" si="10"/>
        <v>1358372</v>
      </c>
      <c r="J33" s="36">
        <f t="shared" si="10"/>
        <v>187781</v>
      </c>
      <c r="K33" s="36">
        <f t="shared" si="10"/>
        <v>0</v>
      </c>
      <c r="L33" s="36">
        <f t="shared" si="10"/>
        <v>12394</v>
      </c>
      <c r="M33" s="36">
        <f t="shared" si="10"/>
        <v>13522623</v>
      </c>
      <c r="N33" s="36">
        <f t="shared" si="10"/>
        <v>0</v>
      </c>
      <c r="O33" s="36">
        <f t="shared" si="10"/>
        <v>1080660</v>
      </c>
    </row>
    <row r="34" spans="3:15" x14ac:dyDescent="0.35">
      <c r="F34" s="49" t="s">
        <v>36</v>
      </c>
      <c r="G34" s="25">
        <f>O11+L11+J11-K11</f>
        <v>930606</v>
      </c>
      <c r="H34" s="200"/>
      <c r="I34" s="201"/>
      <c r="J34" s="50"/>
      <c r="K34" s="51"/>
      <c r="L34" s="51"/>
    </row>
    <row r="35" spans="3:15" x14ac:dyDescent="0.35">
      <c r="F35" s="52" t="s">
        <v>37</v>
      </c>
      <c r="G35" s="25">
        <f>O19+L19+J19-K19+O21+L21+J21-K21</f>
        <v>281259</v>
      </c>
      <c r="H35" s="53"/>
      <c r="I35" s="54" t="s">
        <v>89</v>
      </c>
      <c r="J35" s="54" t="s">
        <v>90</v>
      </c>
      <c r="K35" s="192" t="s">
        <v>88</v>
      </c>
      <c r="L35" s="193"/>
      <c r="M35" s="202" t="s">
        <v>87</v>
      </c>
      <c r="N35" s="203"/>
      <c r="O35" s="204"/>
    </row>
    <row r="36" spans="3:15" x14ac:dyDescent="0.35">
      <c r="C36" s="205" t="s">
        <v>68</v>
      </c>
      <c r="D36" s="206"/>
      <c r="F36" s="55" t="s">
        <v>38</v>
      </c>
      <c r="G36" s="25">
        <f>O24+L24+J24-K24</f>
        <v>0</v>
      </c>
      <c r="H36" s="53"/>
      <c r="I36" s="54"/>
      <c r="J36" s="57"/>
      <c r="K36" s="192"/>
      <c r="L36" s="193"/>
      <c r="M36" s="59"/>
      <c r="N36" s="58"/>
      <c r="O36" s="60"/>
    </row>
    <row r="37" spans="3:15" x14ac:dyDescent="0.35">
      <c r="C37" s="61"/>
      <c r="D37" s="61"/>
      <c r="F37" s="62" t="s">
        <v>30</v>
      </c>
      <c r="G37" s="25">
        <f>O27+L27+J27-K27</f>
        <v>0</v>
      </c>
      <c r="H37" s="53"/>
      <c r="I37" s="56"/>
      <c r="J37" s="57"/>
      <c r="K37" s="192"/>
      <c r="L37" s="193"/>
      <c r="M37" s="59"/>
      <c r="N37" s="58"/>
      <c r="O37" s="60"/>
    </row>
    <row r="38" spans="3:15" x14ac:dyDescent="0.35">
      <c r="C38" s="61"/>
      <c r="D38" s="61"/>
      <c r="F38" s="49" t="s">
        <v>39</v>
      </c>
      <c r="G38" s="25">
        <f>O32+L32+J32-K32</f>
        <v>68970</v>
      </c>
      <c r="H38" s="53"/>
      <c r="I38" s="56"/>
      <c r="J38" s="57"/>
      <c r="K38" s="192"/>
      <c r="L38" s="193"/>
      <c r="M38" s="59"/>
      <c r="N38" s="58"/>
      <c r="O38" s="60"/>
    </row>
    <row r="39" spans="3:15" x14ac:dyDescent="0.35">
      <c r="C39" s="61"/>
      <c r="D39" s="61"/>
      <c r="F39" s="63" t="s">
        <v>40</v>
      </c>
      <c r="G39" s="26">
        <f>SUM(G34:G38)</f>
        <v>1280835</v>
      </c>
      <c r="I39" s="61"/>
      <c r="J39" s="57"/>
      <c r="K39" s="192"/>
      <c r="L39" s="193"/>
      <c r="M39" s="59"/>
      <c r="N39" s="58"/>
      <c r="O39" s="60"/>
    </row>
    <row r="40" spans="3:15" x14ac:dyDescent="0.35">
      <c r="C40" s="61"/>
      <c r="D40" s="61"/>
      <c r="F40" s="64"/>
      <c r="G40" s="65"/>
      <c r="I40" s="61"/>
      <c r="J40" s="57"/>
      <c r="K40" s="192"/>
      <c r="L40" s="193"/>
      <c r="M40" s="59"/>
      <c r="N40" s="58"/>
      <c r="O40" s="60"/>
    </row>
    <row r="41" spans="3:15" x14ac:dyDescent="0.35">
      <c r="C41" s="61"/>
      <c r="D41" s="61"/>
      <c r="F41" s="64"/>
      <c r="G41" s="65"/>
      <c r="I41" s="61"/>
      <c r="J41" s="57"/>
      <c r="K41" s="58"/>
      <c r="L41" s="58"/>
      <c r="M41" s="59"/>
      <c r="N41" s="58"/>
      <c r="O41" s="60"/>
    </row>
    <row r="42" spans="3:15" x14ac:dyDescent="0.35">
      <c r="C42" s="61"/>
      <c r="D42" s="61"/>
      <c r="F42" s="64"/>
      <c r="G42" s="65"/>
      <c r="I42" s="61"/>
      <c r="J42" s="57"/>
      <c r="K42" s="58"/>
      <c r="L42" s="58"/>
      <c r="M42" s="59"/>
      <c r="N42" s="58"/>
      <c r="O42" s="60"/>
    </row>
    <row r="43" spans="3:15" x14ac:dyDescent="0.35">
      <c r="C43" s="61"/>
      <c r="D43" s="61"/>
      <c r="F43" s="64"/>
      <c r="G43" s="65"/>
      <c r="I43" s="61"/>
      <c r="J43" s="57"/>
      <c r="K43" s="58"/>
      <c r="L43" s="58"/>
      <c r="M43" s="59"/>
      <c r="N43" s="58"/>
      <c r="O43" s="60"/>
    </row>
    <row r="44" spans="3:15" x14ac:dyDescent="0.35">
      <c r="C44" s="61"/>
      <c r="D44" s="61"/>
      <c r="F44" s="64"/>
      <c r="G44" s="65"/>
      <c r="I44" s="61"/>
      <c r="J44" s="57"/>
      <c r="K44" s="191"/>
      <c r="L44" s="193"/>
      <c r="M44" s="191"/>
      <c r="N44" s="192"/>
      <c r="O44" s="193"/>
    </row>
    <row r="45" spans="3:15" x14ac:dyDescent="0.35">
      <c r="C45" s="61"/>
      <c r="D45" s="61"/>
      <c r="F45" s="64"/>
      <c r="G45" s="65"/>
      <c r="I45" s="61"/>
      <c r="J45" s="54"/>
      <c r="K45" s="191"/>
      <c r="L45" s="193"/>
      <c r="M45" s="191"/>
      <c r="N45" s="192"/>
      <c r="O45" s="193"/>
    </row>
    <row r="46" spans="3:15" x14ac:dyDescent="0.35">
      <c r="C46" s="61"/>
      <c r="D46" s="61"/>
      <c r="F46" s="64"/>
      <c r="G46" s="65"/>
      <c r="I46" s="61"/>
      <c r="J46" s="54"/>
      <c r="K46" s="191"/>
      <c r="L46" s="193"/>
      <c r="M46" s="191"/>
      <c r="N46" s="192"/>
      <c r="O46" s="193"/>
    </row>
    <row r="47" spans="3:15" x14ac:dyDescent="0.35">
      <c r="C47" s="61"/>
      <c r="D47" s="61"/>
      <c r="F47" s="64"/>
      <c r="G47" s="65"/>
      <c r="I47" s="61"/>
      <c r="J47" s="54"/>
      <c r="K47" s="191"/>
      <c r="L47" s="193"/>
      <c r="M47" s="191"/>
      <c r="N47" s="192"/>
      <c r="O47" s="193"/>
    </row>
    <row r="48" spans="3:15" x14ac:dyDescent="0.35">
      <c r="C48" s="61"/>
      <c r="D48" s="61"/>
      <c r="F48" s="64"/>
      <c r="G48" s="65"/>
      <c r="I48" s="61"/>
      <c r="J48" s="54"/>
      <c r="K48" s="191"/>
      <c r="L48" s="193"/>
      <c r="M48" s="191"/>
      <c r="N48" s="192"/>
      <c r="O48" s="193"/>
    </row>
    <row r="49" spans="3:14" x14ac:dyDescent="0.35">
      <c r="H49" s="209" t="s">
        <v>41</v>
      </c>
      <c r="I49" s="209"/>
      <c r="J49" s="209"/>
      <c r="K49" s="210"/>
      <c r="L49" s="46"/>
      <c r="M49" s="66"/>
    </row>
    <row r="50" spans="3:14" x14ac:dyDescent="0.35">
      <c r="H50" s="67" t="s">
        <v>42</v>
      </c>
      <c r="I50" s="67" t="s">
        <v>43</v>
      </c>
      <c r="J50" s="67" t="s">
        <v>44</v>
      </c>
      <c r="K50" s="210"/>
      <c r="L50" s="66"/>
    </row>
    <row r="51" spans="3:14" x14ac:dyDescent="0.35">
      <c r="F51" s="68"/>
      <c r="H51" s="42" t="s">
        <v>14</v>
      </c>
      <c r="I51" s="42" t="s">
        <v>15</v>
      </c>
      <c r="J51" s="68">
        <f>M5-O5-N5-L5+I5</f>
        <v>290433</v>
      </c>
      <c r="K51" s="69">
        <v>359515</v>
      </c>
      <c r="L51" s="70">
        <f>J51-K51</f>
        <v>-69082</v>
      </c>
      <c r="M51" s="68"/>
    </row>
    <row r="52" spans="3:14" x14ac:dyDescent="0.35">
      <c r="C52" s="211">
        <v>45931</v>
      </c>
      <c r="D52" s="211"/>
      <c r="E52" s="211"/>
      <c r="H52" s="42" t="s">
        <v>14</v>
      </c>
      <c r="I52" s="42" t="s">
        <v>17</v>
      </c>
      <c r="J52" s="68">
        <f>M6-O6-N6-L6+I6+G52</f>
        <v>3640290</v>
      </c>
      <c r="K52" s="69">
        <v>3643077</v>
      </c>
      <c r="L52" s="70">
        <f t="shared" ref="L52:L63" si="11">J52-K52</f>
        <v>-2787</v>
      </c>
      <c r="M52" s="68"/>
    </row>
    <row r="53" spans="3:14" x14ac:dyDescent="0.35">
      <c r="C53" s="212" t="s">
        <v>63</v>
      </c>
      <c r="D53" s="212"/>
      <c r="E53" s="212"/>
      <c r="H53" s="42" t="s">
        <v>14</v>
      </c>
      <c r="I53" s="42" t="s">
        <v>18</v>
      </c>
      <c r="J53" s="68">
        <f>M7-O7-N7-L7+I7+G53</f>
        <v>1232214</v>
      </c>
      <c r="K53" s="69">
        <v>1158224</v>
      </c>
      <c r="L53" s="70">
        <f t="shared" si="11"/>
        <v>73990</v>
      </c>
      <c r="M53" s="68"/>
    </row>
    <row r="54" spans="3:14" x14ac:dyDescent="0.35">
      <c r="C54" s="61" t="s">
        <v>64</v>
      </c>
      <c r="D54" s="213">
        <f>'Opening Balance FEB 2026'!J4</f>
        <v>1308640</v>
      </c>
      <c r="E54" s="214"/>
      <c r="H54" s="42" t="s">
        <v>14</v>
      </c>
      <c r="I54" s="42" t="s">
        <v>19</v>
      </c>
      <c r="J54" s="68">
        <f>M8-O8-N8-L8+I8+G54</f>
        <v>997795</v>
      </c>
      <c r="K54" s="69">
        <v>903051</v>
      </c>
      <c r="L54" s="70">
        <f t="shared" si="11"/>
        <v>94744</v>
      </c>
      <c r="M54" s="68"/>
    </row>
    <row r="55" spans="3:14" x14ac:dyDescent="0.35">
      <c r="C55" s="61" t="s">
        <v>65</v>
      </c>
      <c r="D55" s="213">
        <f>G39</f>
        <v>1280835</v>
      </c>
      <c r="E55" s="214"/>
      <c r="H55" s="42" t="s">
        <v>14</v>
      </c>
      <c r="I55" s="42" t="s">
        <v>20</v>
      </c>
      <c r="J55" s="68">
        <f>M9-O9-N9-L9+I9+G55</f>
        <v>1346385</v>
      </c>
      <c r="K55" s="69">
        <v>1242441</v>
      </c>
      <c r="L55" s="70">
        <f t="shared" si="11"/>
        <v>103944</v>
      </c>
      <c r="M55" s="68"/>
    </row>
    <row r="56" spans="3:14" x14ac:dyDescent="0.35">
      <c r="C56" s="71" t="s">
        <v>45</v>
      </c>
      <c r="D56" s="215">
        <f>D54+D55</f>
        <v>2589475</v>
      </c>
      <c r="E56" s="216"/>
      <c r="H56" s="42" t="s">
        <v>14</v>
      </c>
      <c r="I56" s="42" t="s">
        <v>21</v>
      </c>
      <c r="J56" s="68">
        <f>M10-O10-N10-L10+I10+G56</f>
        <v>509660</v>
      </c>
      <c r="K56" s="69">
        <v>516317</v>
      </c>
      <c r="L56" s="70">
        <f t="shared" si="11"/>
        <v>-6657</v>
      </c>
    </row>
    <row r="57" spans="3:14" x14ac:dyDescent="0.35">
      <c r="C57" s="61" t="s">
        <v>66</v>
      </c>
      <c r="D57" s="207">
        <v>0</v>
      </c>
      <c r="E57" s="208"/>
      <c r="H57" s="72" t="s">
        <v>45</v>
      </c>
      <c r="I57" s="72"/>
      <c r="J57" s="73">
        <f>SUM(J51:J56)</f>
        <v>8016777</v>
      </c>
      <c r="K57" s="74">
        <v>8018229</v>
      </c>
      <c r="L57" s="70">
        <f t="shared" si="11"/>
        <v>-1452</v>
      </c>
    </row>
    <row r="58" spans="3:14" x14ac:dyDescent="0.35">
      <c r="C58" s="61" t="s">
        <v>78</v>
      </c>
      <c r="D58" s="207">
        <v>0</v>
      </c>
      <c r="E58" s="208"/>
      <c r="H58" s="72"/>
      <c r="I58" s="72"/>
      <c r="J58" s="73"/>
      <c r="K58" s="75"/>
      <c r="L58" s="70"/>
    </row>
    <row r="59" spans="3:14" x14ac:dyDescent="0.35">
      <c r="C59" s="61" t="s">
        <v>75</v>
      </c>
      <c r="D59" s="207">
        <v>10000</v>
      </c>
      <c r="E59" s="208"/>
      <c r="H59" s="67" t="s">
        <v>42</v>
      </c>
      <c r="I59" s="67" t="s">
        <v>43</v>
      </c>
      <c r="J59" s="67" t="s">
        <v>44</v>
      </c>
      <c r="K59" s="66"/>
      <c r="L59" s="70"/>
    </row>
    <row r="60" spans="3:14" x14ac:dyDescent="0.35">
      <c r="C60" s="76" t="s">
        <v>83</v>
      </c>
      <c r="D60" s="217">
        <f>SUM(D57:E59)</f>
        <v>10000</v>
      </c>
      <c r="E60" s="218"/>
      <c r="H60" s="42" t="s">
        <v>46</v>
      </c>
      <c r="I60" s="42" t="s">
        <v>48</v>
      </c>
      <c r="J60" s="68">
        <f>M12-O12-N12-L12+I12</f>
        <v>469049</v>
      </c>
      <c r="K60" s="69">
        <v>469049</v>
      </c>
      <c r="L60" s="70">
        <f t="shared" si="11"/>
        <v>0</v>
      </c>
    </row>
    <row r="61" spans="3:14" x14ac:dyDescent="0.35">
      <c r="C61" s="77" t="s">
        <v>67</v>
      </c>
      <c r="D61" s="219">
        <f>D56-D57-D59-D58</f>
        <v>2579475</v>
      </c>
      <c r="E61" s="220"/>
      <c r="H61" s="42" t="s">
        <v>46</v>
      </c>
      <c r="I61" s="42" t="s">
        <v>47</v>
      </c>
      <c r="J61" s="68">
        <f>M14-O14-N14-L14+I14</f>
        <v>1657648</v>
      </c>
      <c r="K61" s="69">
        <v>1702648</v>
      </c>
      <c r="L61" s="70">
        <f t="shared" si="11"/>
        <v>-45000</v>
      </c>
      <c r="N61" s="68"/>
    </row>
    <row r="62" spans="3:14" x14ac:dyDescent="0.35">
      <c r="C62" s="78" t="s">
        <v>68</v>
      </c>
      <c r="D62" s="221"/>
      <c r="E62" s="222"/>
      <c r="H62" s="42" t="s">
        <v>46</v>
      </c>
      <c r="I62" s="42" t="s">
        <v>15</v>
      </c>
      <c r="J62" s="68">
        <f>M16-O16-N16-L16+I16</f>
        <v>425612</v>
      </c>
      <c r="K62" s="69">
        <v>425612</v>
      </c>
      <c r="L62" s="70">
        <f t="shared" si="11"/>
        <v>0</v>
      </c>
      <c r="M62" s="68"/>
      <c r="N62" s="68"/>
    </row>
    <row r="63" spans="3:14" x14ac:dyDescent="0.35">
      <c r="C63" s="61" t="s">
        <v>14</v>
      </c>
      <c r="D63" s="213">
        <v>0</v>
      </c>
      <c r="E63" s="214"/>
      <c r="H63" s="42" t="s">
        <v>46</v>
      </c>
      <c r="I63" s="42" t="s">
        <v>20</v>
      </c>
      <c r="J63" s="68">
        <v>8160</v>
      </c>
      <c r="K63" s="69">
        <v>8160</v>
      </c>
      <c r="L63" s="70">
        <f t="shared" si="11"/>
        <v>0</v>
      </c>
    </row>
    <row r="64" spans="3:14" x14ac:dyDescent="0.35">
      <c r="C64" s="61" t="s">
        <v>72</v>
      </c>
      <c r="D64" s="213">
        <v>0</v>
      </c>
      <c r="E64" s="214"/>
      <c r="H64" s="42" t="s">
        <v>27</v>
      </c>
      <c r="I64" s="42" t="s">
        <v>47</v>
      </c>
      <c r="J64" s="68">
        <f>M20-O20-N20-L20+I20</f>
        <v>51257</v>
      </c>
      <c r="K64" s="69">
        <v>51257</v>
      </c>
      <c r="L64" s="70">
        <f>J64-K64</f>
        <v>0</v>
      </c>
    </row>
    <row r="65" spans="3:14" x14ac:dyDescent="0.35">
      <c r="C65" s="61" t="s">
        <v>69</v>
      </c>
      <c r="D65" s="213">
        <v>0</v>
      </c>
      <c r="E65" s="214"/>
      <c r="H65" s="72" t="s">
        <v>45</v>
      </c>
      <c r="I65" s="72"/>
      <c r="J65" s="73">
        <f>SUM(J60:J64)</f>
        <v>2611726</v>
      </c>
      <c r="K65" s="69">
        <f>SUM(K60:K64)</f>
        <v>2656726</v>
      </c>
      <c r="L65" s="70">
        <f>J65-K65</f>
        <v>-45000</v>
      </c>
    </row>
    <row r="66" spans="3:14" x14ac:dyDescent="0.35">
      <c r="C66" s="61" t="s">
        <v>70</v>
      </c>
      <c r="D66" s="213">
        <v>0</v>
      </c>
      <c r="E66" s="214"/>
      <c r="F66" s="68"/>
      <c r="H66" s="67" t="s">
        <v>42</v>
      </c>
      <c r="I66" s="67" t="s">
        <v>43</v>
      </c>
      <c r="J66" s="67" t="s">
        <v>44</v>
      </c>
    </row>
    <row r="67" spans="3:14" x14ac:dyDescent="0.35">
      <c r="C67" s="61" t="s">
        <v>71</v>
      </c>
      <c r="D67" s="213">
        <v>0</v>
      </c>
      <c r="E67" s="214"/>
      <c r="F67" s="79"/>
      <c r="G67" s="80"/>
      <c r="H67" s="42" t="s">
        <v>49</v>
      </c>
      <c r="I67" s="42" t="s">
        <v>51</v>
      </c>
      <c r="J67" s="68">
        <f>M28-O28-N28-L28+I28</f>
        <v>1432028</v>
      </c>
      <c r="K67" s="69">
        <v>1377413</v>
      </c>
      <c r="L67" s="70">
        <f t="shared" ref="L67:L73" si="12">J67-K67</f>
        <v>54615</v>
      </c>
      <c r="N67" s="68"/>
    </row>
    <row r="68" spans="3:14" x14ac:dyDescent="0.35">
      <c r="C68" s="77" t="s">
        <v>73</v>
      </c>
      <c r="D68" s="219">
        <f>SUM(D63:D67)</f>
        <v>0</v>
      </c>
      <c r="E68" s="220"/>
      <c r="F68" s="68"/>
      <c r="H68" s="42" t="s">
        <v>49</v>
      </c>
      <c r="I68" s="42" t="s">
        <v>18</v>
      </c>
      <c r="J68" s="68">
        <f>M29-O29-N29-L29+I29</f>
        <v>174473</v>
      </c>
      <c r="K68" s="69">
        <v>174473</v>
      </c>
      <c r="L68" s="70">
        <f t="shared" si="12"/>
        <v>0</v>
      </c>
    </row>
    <row r="69" spans="3:14" x14ac:dyDescent="0.35">
      <c r="C69" s="81" t="s">
        <v>74</v>
      </c>
      <c r="D69" s="223">
        <f>D61-D68</f>
        <v>2579475</v>
      </c>
      <c r="E69" s="224"/>
      <c r="F69" s="68"/>
      <c r="H69" s="42" t="s">
        <v>49</v>
      </c>
      <c r="I69" s="42" t="s">
        <v>15</v>
      </c>
      <c r="J69" s="68">
        <f>M30-O30-N30-L30+I30</f>
        <v>35126</v>
      </c>
      <c r="K69" s="69">
        <v>35126</v>
      </c>
      <c r="L69" s="70">
        <f t="shared" si="12"/>
        <v>0</v>
      </c>
    </row>
    <row r="70" spans="3:14" x14ac:dyDescent="0.35">
      <c r="C70" s="61"/>
      <c r="D70" s="213">
        <v>3102990</v>
      </c>
      <c r="E70" s="214"/>
      <c r="H70" s="42" t="s">
        <v>49</v>
      </c>
      <c r="I70" s="42" t="s">
        <v>50</v>
      </c>
      <c r="J70" s="68">
        <f>M31-O31-N31-L31+I31+G70</f>
        <v>1419313</v>
      </c>
      <c r="K70" s="69">
        <v>1419313</v>
      </c>
      <c r="L70" s="70">
        <f t="shared" si="12"/>
        <v>0</v>
      </c>
    </row>
    <row r="71" spans="3:14" x14ac:dyDescent="0.35">
      <c r="C71" s="61"/>
      <c r="D71" s="213">
        <f>D69-D70</f>
        <v>-523515</v>
      </c>
      <c r="E71" s="214"/>
      <c r="H71" s="42" t="s">
        <v>49</v>
      </c>
      <c r="I71" s="42" t="s">
        <v>20</v>
      </c>
      <c r="J71" s="68">
        <f>'Opening Balance FEB 2026'!F24</f>
        <v>66046</v>
      </c>
      <c r="K71" s="69">
        <v>96296</v>
      </c>
      <c r="L71" s="70">
        <f t="shared" si="12"/>
        <v>-30250</v>
      </c>
    </row>
    <row r="72" spans="3:14" x14ac:dyDescent="0.35">
      <c r="H72" s="42" t="s">
        <v>49</v>
      </c>
      <c r="I72" s="42" t="s">
        <v>47</v>
      </c>
      <c r="J72" s="68">
        <f>'Opening Balance FEB 2026'!F25</f>
        <v>23570</v>
      </c>
      <c r="K72" s="69">
        <v>23570</v>
      </c>
      <c r="L72" s="70">
        <f t="shared" si="12"/>
        <v>0</v>
      </c>
    </row>
    <row r="73" spans="3:14" x14ac:dyDescent="0.35">
      <c r="H73" s="72" t="s">
        <v>45</v>
      </c>
      <c r="I73" s="72"/>
      <c r="J73" s="73">
        <f>SUM(J67:J72)</f>
        <v>3150556</v>
      </c>
      <c r="K73" s="69">
        <v>3121191</v>
      </c>
      <c r="L73" s="70">
        <f t="shared" si="12"/>
        <v>29365</v>
      </c>
      <c r="N73" s="68"/>
    </row>
    <row r="74" spans="3:14" x14ac:dyDescent="0.35">
      <c r="H74" s="67" t="s">
        <v>42</v>
      </c>
      <c r="I74" s="67" t="s">
        <v>43</v>
      </c>
      <c r="J74" s="67" t="s">
        <v>44</v>
      </c>
    </row>
    <row r="75" spans="3:14" x14ac:dyDescent="0.35">
      <c r="H75" s="42" t="s">
        <v>52</v>
      </c>
      <c r="I75" s="42" t="s">
        <v>53</v>
      </c>
      <c r="J75" s="68">
        <f>M22-O22-N22-L22+I22-G74</f>
        <v>33969</v>
      </c>
      <c r="K75" s="68">
        <v>33969</v>
      </c>
      <c r="L75" s="70">
        <f>J75-K75</f>
        <v>0</v>
      </c>
    </row>
    <row r="76" spans="3:14" x14ac:dyDescent="0.35">
      <c r="H76" s="42" t="s">
        <v>52</v>
      </c>
      <c r="I76" s="42" t="s">
        <v>47</v>
      </c>
      <c r="J76" s="68">
        <f>M23-O23-N23-L23+I23</f>
        <v>18969</v>
      </c>
      <c r="K76" s="82">
        <v>33969</v>
      </c>
      <c r="L76" s="70">
        <f>J76-K76</f>
        <v>-15000</v>
      </c>
    </row>
    <row r="77" spans="3:14" x14ac:dyDescent="0.35">
      <c r="H77" s="72" t="s">
        <v>45</v>
      </c>
      <c r="I77" s="72"/>
      <c r="J77" s="73">
        <f>SUM(J75:J76)</f>
        <v>52938</v>
      </c>
      <c r="K77" s="68">
        <v>160846</v>
      </c>
      <c r="L77" s="70">
        <f>J77-K77</f>
        <v>-107908</v>
      </c>
    </row>
    <row r="78" spans="3:14" x14ac:dyDescent="0.35">
      <c r="G78" s="42">
        <v>0</v>
      </c>
      <c r="H78" s="67" t="s">
        <v>42</v>
      </c>
      <c r="I78" s="67" t="s">
        <v>43</v>
      </c>
      <c r="J78" s="67" t="s">
        <v>44</v>
      </c>
      <c r="K78" s="69">
        <v>0</v>
      </c>
      <c r="L78" s="70"/>
    </row>
    <row r="79" spans="3:14" x14ac:dyDescent="0.35">
      <c r="H79" s="42" t="s">
        <v>54</v>
      </c>
      <c r="I79" s="42" t="s">
        <v>53</v>
      </c>
      <c r="J79" s="68">
        <f>M25-O25-N25-L25+I25-G78</f>
        <v>89658</v>
      </c>
      <c r="K79" s="69">
        <v>89658</v>
      </c>
      <c r="L79" s="70">
        <f>J79-K79</f>
        <v>0</v>
      </c>
    </row>
    <row r="80" spans="3:14" x14ac:dyDescent="0.35">
      <c r="H80" s="42" t="s">
        <v>54</v>
      </c>
      <c r="I80" s="42" t="s">
        <v>18</v>
      </c>
      <c r="J80" s="68">
        <f>M26-O26-N26-L26+I26</f>
        <v>17000</v>
      </c>
      <c r="K80" s="69">
        <v>67000</v>
      </c>
      <c r="L80" s="70">
        <f>J80-K80</f>
        <v>-50000</v>
      </c>
    </row>
    <row r="81" spans="4:12" x14ac:dyDescent="0.35">
      <c r="H81" s="72" t="s">
        <v>45</v>
      </c>
      <c r="I81" s="72"/>
      <c r="J81" s="73">
        <f>SUM(J79:J80)</f>
        <v>106658</v>
      </c>
      <c r="K81" s="68">
        <f>SUM(K78:K80)</f>
        <v>156658</v>
      </c>
      <c r="L81" s="70">
        <f>J81-K81</f>
        <v>-50000</v>
      </c>
    </row>
    <row r="82" spans="4:12" x14ac:dyDescent="0.35">
      <c r="H82" s="67" t="s">
        <v>42</v>
      </c>
      <c r="I82" s="67" t="s">
        <v>43</v>
      </c>
      <c r="J82" s="67" t="s">
        <v>44</v>
      </c>
      <c r="K82" s="69">
        <v>0</v>
      </c>
      <c r="L82" s="70"/>
    </row>
    <row r="83" spans="4:12" x14ac:dyDescent="0.35">
      <c r="H83" s="42" t="s">
        <v>55</v>
      </c>
      <c r="I83" s="42" t="s">
        <v>56</v>
      </c>
      <c r="J83" s="68">
        <f>'Opening Balance FEB 2026'!F36</f>
        <v>103541</v>
      </c>
      <c r="K83" s="69">
        <v>103541</v>
      </c>
      <c r="L83" s="70">
        <f>J83-K83</f>
        <v>0</v>
      </c>
    </row>
    <row r="84" spans="4:12" x14ac:dyDescent="0.35">
      <c r="H84" s="42" t="s">
        <v>55</v>
      </c>
      <c r="I84" s="42" t="s">
        <v>47</v>
      </c>
      <c r="J84" s="68">
        <f>'Opening Balance FEB 2026'!F37</f>
        <v>6013</v>
      </c>
      <c r="K84" s="69">
        <v>6013</v>
      </c>
      <c r="L84" s="70">
        <f>J84-K84</f>
        <v>0</v>
      </c>
    </row>
    <row r="85" spans="4:12" x14ac:dyDescent="0.35">
      <c r="H85" s="72" t="s">
        <v>45</v>
      </c>
      <c r="I85" s="72"/>
      <c r="J85" s="73">
        <v>109554</v>
      </c>
      <c r="K85" s="68">
        <f>SUM(K82:K84)</f>
        <v>109554</v>
      </c>
      <c r="L85" s="70">
        <f>J85-K85</f>
        <v>0</v>
      </c>
    </row>
    <row r="86" spans="4:12" x14ac:dyDescent="0.35">
      <c r="H86" s="67" t="s">
        <v>42</v>
      </c>
      <c r="I86" s="67" t="s">
        <v>43</v>
      </c>
      <c r="J86" s="67" t="s">
        <v>44</v>
      </c>
      <c r="K86" s="69">
        <v>0</v>
      </c>
      <c r="L86" s="70"/>
    </row>
    <row r="87" spans="4:12" x14ac:dyDescent="0.35">
      <c r="H87" s="42" t="s">
        <v>57</v>
      </c>
      <c r="I87" s="42" t="s">
        <v>47</v>
      </c>
      <c r="J87" s="68">
        <f>'Opening Balance FEB 2026'!F40</f>
        <v>16440</v>
      </c>
      <c r="K87" s="69">
        <v>16440</v>
      </c>
      <c r="L87" s="70">
        <f>J87-K87</f>
        <v>0</v>
      </c>
    </row>
    <row r="88" spans="4:12" x14ac:dyDescent="0.35">
      <c r="H88" s="72" t="s">
        <v>45</v>
      </c>
      <c r="I88" s="72"/>
      <c r="J88" s="73">
        <v>16440</v>
      </c>
      <c r="K88" s="69">
        <f>SUM(K86:K87)</f>
        <v>16440</v>
      </c>
    </row>
    <row r="89" spans="4:12" x14ac:dyDescent="0.35">
      <c r="J89" s="68"/>
    </row>
    <row r="90" spans="4:12" x14ac:dyDescent="0.35">
      <c r="H90" s="83" t="s">
        <v>58</v>
      </c>
      <c r="I90" s="83"/>
      <c r="J90" s="84">
        <f>J88+J85+J81+J77+J73+J65+J57</f>
        <v>14064649</v>
      </c>
    </row>
    <row r="92" spans="4:12" x14ac:dyDescent="0.35">
      <c r="D92" s="85" t="s">
        <v>82</v>
      </c>
      <c r="E92" s="85"/>
      <c r="F92" s="85"/>
      <c r="G92" s="85"/>
      <c r="H92" s="85"/>
    </row>
    <row r="93" spans="4:12" x14ac:dyDescent="0.35">
      <c r="D93" s="78" t="s">
        <v>42</v>
      </c>
      <c r="E93" s="78" t="s">
        <v>43</v>
      </c>
      <c r="F93" s="78" t="s">
        <v>79</v>
      </c>
      <c r="G93" s="78" t="s">
        <v>80</v>
      </c>
      <c r="H93" s="78" t="s">
        <v>81</v>
      </c>
    </row>
    <row r="94" spans="4:12" x14ac:dyDescent="0.35">
      <c r="D94" s="61" t="s">
        <v>14</v>
      </c>
      <c r="E94" s="61" t="s">
        <v>15</v>
      </c>
      <c r="F94" s="86">
        <f>H5</f>
        <v>0</v>
      </c>
      <c r="G94" s="86">
        <f t="shared" ref="G94:G99" si="13">O5</f>
        <v>31765</v>
      </c>
      <c r="H94" s="86">
        <f t="shared" ref="H94:H99" si="14">I5</f>
        <v>0</v>
      </c>
    </row>
    <row r="95" spans="4:12" x14ac:dyDescent="0.35">
      <c r="D95" s="61" t="s">
        <v>14</v>
      </c>
      <c r="E95" s="61" t="s">
        <v>17</v>
      </c>
      <c r="F95" s="86">
        <f>H6</f>
        <v>615746</v>
      </c>
      <c r="G95" s="86">
        <f t="shared" si="13"/>
        <v>618534</v>
      </c>
      <c r="H95" s="86">
        <f t="shared" si="14"/>
        <v>615746</v>
      </c>
    </row>
    <row r="96" spans="4:12" x14ac:dyDescent="0.35">
      <c r="D96" s="61" t="s">
        <v>14</v>
      </c>
      <c r="E96" s="61" t="s">
        <v>18</v>
      </c>
      <c r="F96" s="86">
        <f>H7</f>
        <v>91897</v>
      </c>
      <c r="G96" s="86">
        <f t="shared" si="13"/>
        <v>80456</v>
      </c>
      <c r="H96" s="86">
        <f t="shared" si="14"/>
        <v>72571</v>
      </c>
    </row>
    <row r="97" spans="4:8" x14ac:dyDescent="0.35">
      <c r="D97" s="61" t="s">
        <v>14</v>
      </c>
      <c r="E97" s="61" t="s">
        <v>19</v>
      </c>
      <c r="F97" s="86">
        <f>H8</f>
        <v>165963</v>
      </c>
      <c r="G97" s="86">
        <f t="shared" si="13"/>
        <v>58892</v>
      </c>
      <c r="H97" s="86">
        <f t="shared" si="14"/>
        <v>153668</v>
      </c>
    </row>
    <row r="98" spans="4:8" x14ac:dyDescent="0.35">
      <c r="D98" s="61" t="s">
        <v>14</v>
      </c>
      <c r="E98" s="61" t="s">
        <v>20</v>
      </c>
      <c r="F98" s="86">
        <f>H9</f>
        <v>74957</v>
      </c>
      <c r="G98" s="86">
        <f t="shared" si="13"/>
        <v>25701</v>
      </c>
      <c r="H98" s="86">
        <f t="shared" si="14"/>
        <v>66644</v>
      </c>
    </row>
    <row r="99" spans="4:8" x14ac:dyDescent="0.35">
      <c r="D99" s="61" t="s">
        <v>14</v>
      </c>
      <c r="E99" s="61" t="s">
        <v>21</v>
      </c>
      <c r="F99" s="86" t="e">
        <f>H10+#REF!</f>
        <v>#REF!</v>
      </c>
      <c r="G99" s="86">
        <f t="shared" si="13"/>
        <v>49504</v>
      </c>
      <c r="H99" s="86">
        <f t="shared" si="14"/>
        <v>42848</v>
      </c>
    </row>
    <row r="100" spans="4:8" x14ac:dyDescent="0.35">
      <c r="D100" s="87" t="s">
        <v>45</v>
      </c>
      <c r="E100" s="87"/>
      <c r="F100" s="88" t="e">
        <f>SUM(F94:F99)</f>
        <v>#REF!</v>
      </c>
      <c r="G100" s="88">
        <f t="shared" ref="G100" si="15">SUM(G94:G99)</f>
        <v>864852</v>
      </c>
      <c r="H100" s="88">
        <f>SUM(H94:H99)</f>
        <v>951477</v>
      </c>
    </row>
    <row r="101" spans="4:8" x14ac:dyDescent="0.35">
      <c r="D101" s="78" t="s">
        <v>42</v>
      </c>
      <c r="E101" s="78" t="s">
        <v>43</v>
      </c>
      <c r="F101" s="89" t="s">
        <v>79</v>
      </c>
      <c r="G101" s="89" t="s">
        <v>80</v>
      </c>
      <c r="H101" s="89" t="s">
        <v>81</v>
      </c>
    </row>
    <row r="102" spans="4:8" x14ac:dyDescent="0.35">
      <c r="D102" s="61" t="s">
        <v>46</v>
      </c>
      <c r="E102" s="61" t="s">
        <v>48</v>
      </c>
      <c r="F102" s="86">
        <f>H12</f>
        <v>90839</v>
      </c>
      <c r="G102" s="86">
        <f>O12</f>
        <v>59834</v>
      </c>
      <c r="H102" s="86">
        <f>I12</f>
        <v>69709</v>
      </c>
    </row>
    <row r="103" spans="4:8" x14ac:dyDescent="0.35">
      <c r="D103" s="61" t="s">
        <v>46</v>
      </c>
      <c r="E103" s="61" t="s">
        <v>47</v>
      </c>
      <c r="F103" s="86">
        <f>H14</f>
        <v>182009</v>
      </c>
      <c r="G103" s="86">
        <f>O14</f>
        <v>0</v>
      </c>
      <c r="H103" s="86">
        <f>I14</f>
        <v>122440</v>
      </c>
    </row>
    <row r="104" spans="4:8" x14ac:dyDescent="0.35">
      <c r="D104" s="61" t="s">
        <v>27</v>
      </c>
      <c r="E104" s="61" t="s">
        <v>47</v>
      </c>
      <c r="F104" s="86">
        <v>0</v>
      </c>
      <c r="G104" s="86">
        <v>0</v>
      </c>
      <c r="H104" s="86">
        <v>0</v>
      </c>
    </row>
    <row r="105" spans="4:8" x14ac:dyDescent="0.35">
      <c r="D105" s="87" t="s">
        <v>45</v>
      </c>
      <c r="E105" s="87"/>
      <c r="F105" s="88">
        <f>SUM(F102:F104)</f>
        <v>272848</v>
      </c>
      <c r="G105" s="88">
        <f>SUM(G102:G104)</f>
        <v>59834</v>
      </c>
      <c r="H105" s="88">
        <f>SUM(H102:H104)</f>
        <v>192149</v>
      </c>
    </row>
    <row r="106" spans="4:8" x14ac:dyDescent="0.35">
      <c r="D106" s="78" t="s">
        <v>42</v>
      </c>
      <c r="E106" s="78" t="s">
        <v>43</v>
      </c>
      <c r="F106" s="89" t="s">
        <v>79</v>
      </c>
      <c r="G106" s="89" t="s">
        <v>80</v>
      </c>
      <c r="H106" s="89" t="s">
        <v>81</v>
      </c>
    </row>
    <row r="107" spans="4:8" x14ac:dyDescent="0.35">
      <c r="D107" s="61" t="s">
        <v>49</v>
      </c>
      <c r="E107" s="61" t="s">
        <v>51</v>
      </c>
      <c r="F107" s="86" t="e">
        <f>#REF!</f>
        <v>#REF!</v>
      </c>
      <c r="G107" s="86" t="e">
        <f>#REF!</f>
        <v>#REF!</v>
      </c>
      <c r="H107" s="86" t="e">
        <f>#REF!</f>
        <v>#REF!</v>
      </c>
    </row>
    <row r="108" spans="4:8" x14ac:dyDescent="0.35">
      <c r="D108" s="61" t="s">
        <v>49</v>
      </c>
      <c r="E108" s="61" t="s">
        <v>18</v>
      </c>
      <c r="F108" s="86">
        <f>H29</f>
        <v>0</v>
      </c>
      <c r="G108" s="86">
        <f>O29</f>
        <v>0</v>
      </c>
      <c r="H108" s="86">
        <v>0</v>
      </c>
    </row>
    <row r="109" spans="4:8" x14ac:dyDescent="0.35">
      <c r="D109" s="61" t="s">
        <v>49</v>
      </c>
      <c r="E109" s="61" t="s">
        <v>50</v>
      </c>
      <c r="F109" s="86" t="e">
        <f>#REF!+#REF!</f>
        <v>#REF!</v>
      </c>
      <c r="G109" s="86" t="e">
        <f>#REF!</f>
        <v>#REF!</v>
      </c>
      <c r="H109" s="86" t="e">
        <f>#REF!+#REF!</f>
        <v>#REF!</v>
      </c>
    </row>
    <row r="110" spans="4:8" x14ac:dyDescent="0.35">
      <c r="D110" s="87" t="s">
        <v>45</v>
      </c>
      <c r="E110" s="87"/>
      <c r="F110" s="88" t="e">
        <f>SUM(F107:F109)</f>
        <v>#REF!</v>
      </c>
      <c r="G110" s="88" t="e">
        <f>SUM(G107:G109)</f>
        <v>#REF!</v>
      </c>
      <c r="H110" s="88" t="e">
        <f>SUM(H107:H109)</f>
        <v>#REF!</v>
      </c>
    </row>
    <row r="111" spans="4:8" x14ac:dyDescent="0.35">
      <c r="D111" s="78" t="s">
        <v>42</v>
      </c>
      <c r="E111" s="78" t="s">
        <v>43</v>
      </c>
      <c r="F111" s="89" t="s">
        <v>79</v>
      </c>
      <c r="G111" s="89" t="s">
        <v>80</v>
      </c>
      <c r="H111" s="89" t="s">
        <v>81</v>
      </c>
    </row>
    <row r="112" spans="4:8" x14ac:dyDescent="0.35">
      <c r="D112" s="61" t="s">
        <v>52</v>
      </c>
      <c r="E112" s="61" t="s">
        <v>53</v>
      </c>
      <c r="F112" s="86">
        <f>H22</f>
        <v>0</v>
      </c>
      <c r="G112" s="86">
        <f>O22</f>
        <v>0</v>
      </c>
      <c r="H112" s="86">
        <f>I22</f>
        <v>0</v>
      </c>
    </row>
    <row r="113" spans="4:8" x14ac:dyDescent="0.35">
      <c r="D113" s="87" t="s">
        <v>45</v>
      </c>
      <c r="E113" s="87"/>
      <c r="F113" s="88">
        <f>SUM(F112)</f>
        <v>0</v>
      </c>
      <c r="G113" s="88">
        <f t="shared" ref="G113" si="16">SUM(G112)</f>
        <v>0</v>
      </c>
      <c r="H113" s="88">
        <f>SUM(H112)</f>
        <v>0</v>
      </c>
    </row>
    <row r="114" spans="4:8" x14ac:dyDescent="0.35">
      <c r="D114" s="78" t="s">
        <v>42</v>
      </c>
      <c r="E114" s="78" t="s">
        <v>43</v>
      </c>
      <c r="F114" s="89" t="s">
        <v>79</v>
      </c>
      <c r="G114" s="89" t="s">
        <v>80</v>
      </c>
      <c r="H114" s="89" t="s">
        <v>81</v>
      </c>
    </row>
    <row r="115" spans="4:8" x14ac:dyDescent="0.35">
      <c r="D115" s="61" t="s">
        <v>54</v>
      </c>
      <c r="E115" s="61" t="s">
        <v>53</v>
      </c>
      <c r="F115" s="86">
        <f>H25</f>
        <v>0</v>
      </c>
      <c r="G115" s="86">
        <f>O25</f>
        <v>0</v>
      </c>
      <c r="H115" s="86">
        <f>I25</f>
        <v>0</v>
      </c>
    </row>
    <row r="116" spans="4:8" x14ac:dyDescent="0.35">
      <c r="D116" s="61" t="s">
        <v>54</v>
      </c>
      <c r="E116" s="61" t="s">
        <v>18</v>
      </c>
      <c r="F116" s="86">
        <f>H26</f>
        <v>0</v>
      </c>
      <c r="G116" s="86">
        <f>O26</f>
        <v>0</v>
      </c>
      <c r="H116" s="86">
        <f>I26</f>
        <v>0</v>
      </c>
    </row>
    <row r="117" spans="4:8" x14ac:dyDescent="0.35">
      <c r="D117" s="87" t="s">
        <v>45</v>
      </c>
      <c r="E117" s="87"/>
      <c r="F117" s="88">
        <f>SUM(F115:F116)</f>
        <v>0</v>
      </c>
      <c r="G117" s="88">
        <f t="shared" ref="G117" si="17">SUM(G115:G116)</f>
        <v>0</v>
      </c>
      <c r="H117" s="88">
        <f>SUM(H115:H116)</f>
        <v>0</v>
      </c>
    </row>
    <row r="118" spans="4:8" x14ac:dyDescent="0.35">
      <c r="D118" s="90"/>
      <c r="E118" s="90"/>
      <c r="F118" s="91" t="e">
        <f>F117+F113+F110+F105+F100</f>
        <v>#REF!</v>
      </c>
      <c r="G118" s="91" t="e">
        <f t="shared" ref="G118" si="18">G117+G113+G110+G105+G100</f>
        <v>#REF!</v>
      </c>
      <c r="H118" s="91" t="e">
        <f>H117+H113+H110+H105+H100</f>
        <v>#REF!</v>
      </c>
    </row>
  </sheetData>
  <mergeCells count="43">
    <mergeCell ref="M44:O44"/>
    <mergeCell ref="C2:O2"/>
    <mergeCell ref="C3:O3"/>
    <mergeCell ref="H34:I34"/>
    <mergeCell ref="K35:L35"/>
    <mergeCell ref="M35:O35"/>
    <mergeCell ref="C36:D36"/>
    <mergeCell ref="K36:L36"/>
    <mergeCell ref="K37:L37"/>
    <mergeCell ref="K38:L38"/>
    <mergeCell ref="K39:L39"/>
    <mergeCell ref="K40:L40"/>
    <mergeCell ref="K44:L44"/>
    <mergeCell ref="K45:L45"/>
    <mergeCell ref="M45:O45"/>
    <mergeCell ref="K46:L46"/>
    <mergeCell ref="M46:O46"/>
    <mergeCell ref="K47:L47"/>
    <mergeCell ref="M47:O47"/>
    <mergeCell ref="D59:E59"/>
    <mergeCell ref="K48:L48"/>
    <mergeCell ref="M48:O48"/>
    <mergeCell ref="H49:J49"/>
    <mergeCell ref="K49:K50"/>
    <mergeCell ref="C52:E52"/>
    <mergeCell ref="C53:E53"/>
    <mergeCell ref="D54:E54"/>
    <mergeCell ref="D55:E55"/>
    <mergeCell ref="D56:E56"/>
    <mergeCell ref="D57:E57"/>
    <mergeCell ref="D58:E58"/>
    <mergeCell ref="D71:E71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7"/>
  <sheetViews>
    <sheetView topLeftCell="A37" zoomScale="60" zoomScaleNormal="60" workbookViewId="0">
      <selection activeCell="F7" sqref="F7"/>
    </sheetView>
  </sheetViews>
  <sheetFormatPr defaultRowHeight="21" x14ac:dyDescent="0.35"/>
  <cols>
    <col min="1" max="1" width="5.5703125" style="42" customWidth="1"/>
    <col min="2" max="2" width="0.140625" style="42" hidden="1" customWidth="1"/>
    <col min="3" max="3" width="20.85546875" style="42" customWidth="1"/>
    <col min="4" max="4" width="26.42578125" style="42" customWidth="1"/>
    <col min="5" max="5" width="18.140625" style="42" customWidth="1"/>
    <col min="6" max="6" width="20.85546875" style="42" customWidth="1"/>
    <col min="7" max="7" width="21" style="42" customWidth="1"/>
    <col min="8" max="8" width="22.85546875" style="42" customWidth="1"/>
    <col min="9" max="9" width="23.5703125" style="42" customWidth="1"/>
    <col min="10" max="10" width="21.42578125" style="42" customWidth="1"/>
    <col min="11" max="11" width="21.28515625" style="42" customWidth="1"/>
    <col min="12" max="12" width="22.5703125" style="42" customWidth="1"/>
    <col min="13" max="13" width="26.42578125" style="42" customWidth="1"/>
    <col min="14" max="14" width="17.5703125" style="42" customWidth="1"/>
    <col min="15" max="15" width="22" style="42" customWidth="1"/>
    <col min="16" max="16" width="7.5703125" style="42" customWidth="1"/>
    <col min="17" max="17" width="14.28515625" style="42" bestFit="1" customWidth="1"/>
    <col min="18" max="18" width="11.42578125" style="42" customWidth="1"/>
    <col min="19" max="16384" width="9.140625" style="42"/>
  </cols>
  <sheetData>
    <row r="2" spans="1:16" x14ac:dyDescent="0.35">
      <c r="C2" s="194">
        <v>46090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6"/>
    </row>
    <row r="3" spans="1:16" x14ac:dyDescent="0.35">
      <c r="C3" s="197" t="s">
        <v>0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6" ht="63" x14ac:dyDescent="0.35">
      <c r="A4" s="100"/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  <c r="J4" s="40" t="s">
        <v>8</v>
      </c>
      <c r="K4" s="43" t="s">
        <v>9</v>
      </c>
      <c r="L4" s="43" t="s">
        <v>10</v>
      </c>
      <c r="M4" s="44" t="s">
        <v>11</v>
      </c>
      <c r="N4" s="45" t="s">
        <v>12</v>
      </c>
      <c r="O4" s="40" t="s">
        <v>13</v>
      </c>
    </row>
    <row r="5" spans="1:16" x14ac:dyDescent="0.35">
      <c r="A5" s="46"/>
      <c r="C5" s="37" t="s">
        <v>14</v>
      </c>
      <c r="D5" s="38" t="s">
        <v>15</v>
      </c>
      <c r="E5" s="39" t="s">
        <v>95</v>
      </c>
      <c r="F5" s="27">
        <v>117124</v>
      </c>
      <c r="G5" s="27">
        <v>1368</v>
      </c>
      <c r="H5" s="28">
        <f>F5-G5</f>
        <v>115756</v>
      </c>
      <c r="I5" s="28">
        <f>H5-J5</f>
        <v>25478</v>
      </c>
      <c r="J5" s="25">
        <v>90278</v>
      </c>
      <c r="K5" s="29">
        <v>0</v>
      </c>
      <c r="L5" s="25">
        <v>0</v>
      </c>
      <c r="M5" s="27">
        <f>'08-03-2026'!J51</f>
        <v>290433</v>
      </c>
      <c r="N5" s="29">
        <v>0</v>
      </c>
      <c r="O5" s="30">
        <v>18226</v>
      </c>
      <c r="P5" s="47"/>
    </row>
    <row r="6" spans="1:16" x14ac:dyDescent="0.35">
      <c r="A6" s="46"/>
      <c r="C6" s="37" t="s">
        <v>14</v>
      </c>
      <c r="D6" s="38" t="s">
        <v>17</v>
      </c>
      <c r="E6" s="39" t="s">
        <v>85</v>
      </c>
      <c r="F6" s="27">
        <v>0</v>
      </c>
      <c r="G6" s="27">
        <v>0</v>
      </c>
      <c r="H6" s="28">
        <f t="shared" ref="H6:H10" si="0">F6-G6</f>
        <v>0</v>
      </c>
      <c r="I6" s="28">
        <f t="shared" ref="I6:I10" si="1">H6-J6</f>
        <v>0</v>
      </c>
      <c r="J6" s="25">
        <v>0</v>
      </c>
      <c r="K6" s="29">
        <v>0</v>
      </c>
      <c r="L6" s="25">
        <v>0</v>
      </c>
      <c r="M6" s="27">
        <f>'08-03-2026'!J52</f>
        <v>3640290</v>
      </c>
      <c r="N6" s="29">
        <v>0</v>
      </c>
      <c r="O6" s="30">
        <v>90000</v>
      </c>
    </row>
    <row r="7" spans="1:16" x14ac:dyDescent="0.35">
      <c r="A7" s="46"/>
      <c r="C7" s="37" t="s">
        <v>14</v>
      </c>
      <c r="D7" s="38" t="s">
        <v>18</v>
      </c>
      <c r="E7" s="39" t="s">
        <v>98</v>
      </c>
      <c r="F7" s="27">
        <v>283633</v>
      </c>
      <c r="G7" s="27">
        <v>0</v>
      </c>
      <c r="H7" s="28">
        <f t="shared" si="0"/>
        <v>283633</v>
      </c>
      <c r="I7" s="28">
        <f t="shared" si="1"/>
        <v>282494</v>
      </c>
      <c r="J7" s="25">
        <v>1139</v>
      </c>
      <c r="K7" s="29">
        <v>0</v>
      </c>
      <c r="L7" s="25">
        <v>0</v>
      </c>
      <c r="M7" s="27">
        <f>'08-03-2026'!J53</f>
        <v>1232214</v>
      </c>
      <c r="N7" s="29">
        <v>0</v>
      </c>
      <c r="O7" s="30">
        <v>45927</v>
      </c>
    </row>
    <row r="8" spans="1:16" x14ac:dyDescent="0.35">
      <c r="A8" s="46"/>
      <c r="C8" s="37" t="s">
        <v>14</v>
      </c>
      <c r="D8" s="38" t="s">
        <v>19</v>
      </c>
      <c r="E8" s="39" t="s">
        <v>85</v>
      </c>
      <c r="F8" s="27">
        <v>104546</v>
      </c>
      <c r="G8" s="27">
        <v>0</v>
      </c>
      <c r="H8" s="28">
        <f t="shared" si="0"/>
        <v>104546</v>
      </c>
      <c r="I8" s="28">
        <f t="shared" si="1"/>
        <v>94729</v>
      </c>
      <c r="J8" s="25">
        <v>9817</v>
      </c>
      <c r="K8" s="29">
        <v>0</v>
      </c>
      <c r="L8" s="25">
        <v>0</v>
      </c>
      <c r="M8" s="27">
        <f>'08-03-2026'!J54</f>
        <v>997795</v>
      </c>
      <c r="N8" s="29">
        <v>0</v>
      </c>
      <c r="O8" s="30">
        <v>59366</v>
      </c>
    </row>
    <row r="9" spans="1:16" x14ac:dyDescent="0.35">
      <c r="A9" s="46"/>
      <c r="C9" s="37" t="s">
        <v>14</v>
      </c>
      <c r="D9" s="38" t="s">
        <v>20</v>
      </c>
      <c r="E9" s="39" t="s">
        <v>95</v>
      </c>
      <c r="F9" s="27">
        <v>64344</v>
      </c>
      <c r="G9" s="27">
        <v>0</v>
      </c>
      <c r="H9" s="28">
        <f t="shared" si="0"/>
        <v>64344</v>
      </c>
      <c r="I9" s="28">
        <f t="shared" si="1"/>
        <v>15254</v>
      </c>
      <c r="J9" s="25">
        <f>50239-1149</f>
        <v>49090</v>
      </c>
      <c r="K9" s="29">
        <v>0</v>
      </c>
      <c r="L9" s="25">
        <v>0</v>
      </c>
      <c r="M9" s="27">
        <f>'08-03-2026'!J55</f>
        <v>1346385</v>
      </c>
      <c r="N9" s="29">
        <v>0</v>
      </c>
      <c r="O9" s="30">
        <v>67006</v>
      </c>
    </row>
    <row r="10" spans="1:16" x14ac:dyDescent="0.35">
      <c r="A10" s="46"/>
      <c r="C10" s="37" t="s">
        <v>14</v>
      </c>
      <c r="D10" s="38" t="s">
        <v>21</v>
      </c>
      <c r="E10" s="39" t="s">
        <v>86</v>
      </c>
      <c r="F10" s="27">
        <v>114949</v>
      </c>
      <c r="G10" s="27">
        <v>1051</v>
      </c>
      <c r="H10" s="28">
        <f t="shared" si="0"/>
        <v>113898</v>
      </c>
      <c r="I10" s="28">
        <f t="shared" si="1"/>
        <v>113898</v>
      </c>
      <c r="J10" s="25">
        <v>0</v>
      </c>
      <c r="K10" s="29">
        <v>0</v>
      </c>
      <c r="L10" s="25">
        <v>0</v>
      </c>
      <c r="M10" s="27">
        <f>'08-03-2026'!J56</f>
        <v>509660</v>
      </c>
      <c r="N10" s="29">
        <v>0</v>
      </c>
      <c r="O10" s="30">
        <v>37974</v>
      </c>
    </row>
    <row r="11" spans="1:16" x14ac:dyDescent="0.35">
      <c r="A11" s="48"/>
      <c r="C11" s="40" t="s">
        <v>22</v>
      </c>
      <c r="D11" s="40"/>
      <c r="E11" s="40"/>
      <c r="F11" s="31">
        <f t="shared" ref="F11:O11" si="2">SUM(F5:F10)</f>
        <v>684596</v>
      </c>
      <c r="G11" s="31">
        <f t="shared" si="2"/>
        <v>2419</v>
      </c>
      <c r="H11" s="31">
        <f t="shared" si="2"/>
        <v>682177</v>
      </c>
      <c r="I11" s="31">
        <f t="shared" si="2"/>
        <v>531853</v>
      </c>
      <c r="J11" s="31">
        <f>SUM(J5:J10)</f>
        <v>150324</v>
      </c>
      <c r="K11" s="31">
        <f t="shared" si="2"/>
        <v>0</v>
      </c>
      <c r="L11" s="31">
        <f t="shared" si="2"/>
        <v>0</v>
      </c>
      <c r="M11" s="31">
        <f t="shared" si="2"/>
        <v>8016777</v>
      </c>
      <c r="N11" s="31">
        <f t="shared" si="2"/>
        <v>0</v>
      </c>
      <c r="O11" s="31">
        <f t="shared" si="2"/>
        <v>318499</v>
      </c>
    </row>
    <row r="12" spans="1:16" x14ac:dyDescent="0.35">
      <c r="C12" s="37" t="s">
        <v>23</v>
      </c>
      <c r="D12" s="38" t="s">
        <v>24</v>
      </c>
      <c r="E12" s="39" t="s">
        <v>84</v>
      </c>
      <c r="F12" s="27">
        <v>71924</v>
      </c>
      <c r="G12" s="27">
        <v>668</v>
      </c>
      <c r="H12" s="28">
        <f t="shared" ref="H12:H30" si="3">F12-G12</f>
        <v>71256</v>
      </c>
      <c r="I12" s="28">
        <f t="shared" ref="I12:I30" si="4">H12-J12</f>
        <v>43127</v>
      </c>
      <c r="J12" s="25">
        <v>28129</v>
      </c>
      <c r="K12" s="29">
        <v>0</v>
      </c>
      <c r="L12" s="25">
        <v>0</v>
      </c>
      <c r="M12" s="27">
        <f>'08-03-2026'!J60</f>
        <v>469049</v>
      </c>
      <c r="N12" s="29">
        <v>0</v>
      </c>
      <c r="O12" s="25">
        <v>66458</v>
      </c>
    </row>
    <row r="13" spans="1:16" x14ac:dyDescent="0.35">
      <c r="C13" s="37" t="s">
        <v>23</v>
      </c>
      <c r="D13" s="38" t="s">
        <v>25</v>
      </c>
      <c r="E13" s="39" t="s">
        <v>95</v>
      </c>
      <c r="F13" s="27">
        <v>52600</v>
      </c>
      <c r="G13" s="27">
        <v>446</v>
      </c>
      <c r="H13" s="28">
        <f t="shared" si="3"/>
        <v>52154</v>
      </c>
      <c r="I13" s="28">
        <f t="shared" si="4"/>
        <v>7187</v>
      </c>
      <c r="J13" s="25">
        <v>44967</v>
      </c>
      <c r="K13" s="29">
        <v>0</v>
      </c>
      <c r="L13" s="25">
        <v>0</v>
      </c>
      <c r="M13" s="27">
        <f>'08-03-2026'!J61</f>
        <v>1657648</v>
      </c>
      <c r="N13" s="29">
        <v>0</v>
      </c>
      <c r="O13" s="25">
        <v>359610</v>
      </c>
    </row>
    <row r="14" spans="1:16" x14ac:dyDescent="0.35">
      <c r="C14" s="37" t="s">
        <v>23</v>
      </c>
      <c r="D14" s="38" t="s">
        <v>25</v>
      </c>
      <c r="E14" s="39" t="s">
        <v>85</v>
      </c>
      <c r="F14" s="27">
        <v>59251</v>
      </c>
      <c r="G14" s="27">
        <v>0</v>
      </c>
      <c r="H14" s="28">
        <f t="shared" si="3"/>
        <v>59251</v>
      </c>
      <c r="I14" s="28">
        <f t="shared" si="4"/>
        <v>59251</v>
      </c>
      <c r="J14" s="25">
        <v>0</v>
      </c>
      <c r="K14" s="29"/>
      <c r="L14" s="25"/>
      <c r="M14" s="27"/>
      <c r="N14" s="29"/>
      <c r="O14" s="25"/>
    </row>
    <row r="15" spans="1:16" x14ac:dyDescent="0.35">
      <c r="C15" s="37" t="s">
        <v>23</v>
      </c>
      <c r="D15" s="38" t="s">
        <v>26</v>
      </c>
      <c r="E15" s="39" t="s">
        <v>95</v>
      </c>
      <c r="F15" s="27">
        <v>70943</v>
      </c>
      <c r="G15" s="27">
        <v>0</v>
      </c>
      <c r="H15" s="28">
        <f t="shared" si="3"/>
        <v>70943</v>
      </c>
      <c r="I15" s="28">
        <f t="shared" si="4"/>
        <v>31565</v>
      </c>
      <c r="J15" s="25">
        <v>39378</v>
      </c>
      <c r="K15" s="29">
        <v>0</v>
      </c>
      <c r="L15" s="25">
        <v>0</v>
      </c>
      <c r="M15" s="27">
        <f>'08-03-2026'!J62</f>
        <v>425612</v>
      </c>
      <c r="N15" s="29">
        <v>0</v>
      </c>
      <c r="O15" s="25">
        <v>0</v>
      </c>
    </row>
    <row r="16" spans="1:16" x14ac:dyDescent="0.35">
      <c r="C16" s="37" t="s">
        <v>23</v>
      </c>
      <c r="D16" s="38" t="s">
        <v>20</v>
      </c>
      <c r="E16" s="39" t="s">
        <v>95</v>
      </c>
      <c r="F16" s="27">
        <v>10753</v>
      </c>
      <c r="G16" s="27">
        <v>0</v>
      </c>
      <c r="H16" s="28">
        <f t="shared" si="3"/>
        <v>10753</v>
      </c>
      <c r="I16" s="28">
        <f t="shared" si="4"/>
        <v>0</v>
      </c>
      <c r="J16" s="25">
        <v>10753</v>
      </c>
      <c r="K16" s="29">
        <v>0</v>
      </c>
      <c r="L16" s="25">
        <v>0</v>
      </c>
      <c r="M16" s="27">
        <v>0</v>
      </c>
      <c r="N16" s="29">
        <v>0</v>
      </c>
      <c r="O16" s="25">
        <v>0</v>
      </c>
    </row>
    <row r="17" spans="3:15" x14ac:dyDescent="0.35">
      <c r="C17" s="37" t="s">
        <v>23</v>
      </c>
      <c r="D17" s="38" t="s">
        <v>18</v>
      </c>
      <c r="E17" s="39"/>
      <c r="F17" s="27">
        <v>0</v>
      </c>
      <c r="G17" s="27">
        <v>0</v>
      </c>
      <c r="H17" s="28">
        <f t="shared" si="3"/>
        <v>0</v>
      </c>
      <c r="I17" s="28">
        <f t="shared" si="4"/>
        <v>0</v>
      </c>
      <c r="J17" s="25">
        <v>0</v>
      </c>
      <c r="K17" s="29">
        <v>0</v>
      </c>
      <c r="L17" s="25">
        <v>0</v>
      </c>
      <c r="M17" s="27">
        <v>0</v>
      </c>
      <c r="N17" s="29">
        <v>0</v>
      </c>
      <c r="O17" s="25">
        <v>0</v>
      </c>
    </row>
    <row r="18" spans="3:15" x14ac:dyDescent="0.35">
      <c r="C18" s="37" t="s">
        <v>23</v>
      </c>
      <c r="D18" s="40"/>
      <c r="E18" s="40"/>
      <c r="F18" s="31">
        <f>SUM(F12:F17)</f>
        <v>265471</v>
      </c>
      <c r="G18" s="31">
        <f>SUM(G12:G17)</f>
        <v>1114</v>
      </c>
      <c r="H18" s="31">
        <f>SUM(H12:H16)</f>
        <v>264357</v>
      </c>
      <c r="I18" s="31">
        <f>SUM(I12:I16)</f>
        <v>141130</v>
      </c>
      <c r="J18" s="31">
        <f>SUM(J12:J17)</f>
        <v>123227</v>
      </c>
      <c r="K18" s="31">
        <f>SUM(K12:K16)</f>
        <v>0</v>
      </c>
      <c r="L18" s="31">
        <f>SUM(L12:L16)</f>
        <v>0</v>
      </c>
      <c r="M18" s="31">
        <f>SUM(M12:M17)</f>
        <v>2552309</v>
      </c>
      <c r="N18" s="31">
        <f>SUM(N12:N16)</f>
        <v>0</v>
      </c>
      <c r="O18" s="31">
        <f>SUM(O12:O17)</f>
        <v>426068</v>
      </c>
    </row>
    <row r="19" spans="3:15" x14ac:dyDescent="0.35">
      <c r="C19" s="37" t="s">
        <v>27</v>
      </c>
      <c r="D19" s="38" t="s">
        <v>25</v>
      </c>
      <c r="E19" s="39" t="s">
        <v>16</v>
      </c>
      <c r="F19" s="27">
        <v>0</v>
      </c>
      <c r="G19" s="27">
        <v>0</v>
      </c>
      <c r="H19" s="28">
        <f t="shared" si="3"/>
        <v>0</v>
      </c>
      <c r="I19" s="28">
        <f t="shared" si="4"/>
        <v>0</v>
      </c>
      <c r="J19" s="25">
        <v>0</v>
      </c>
      <c r="K19" s="29">
        <v>0</v>
      </c>
      <c r="L19" s="25">
        <v>0</v>
      </c>
      <c r="M19" s="27">
        <f>'08-03-2026'!J64</f>
        <v>51257</v>
      </c>
      <c r="N19" s="29">
        <v>0</v>
      </c>
      <c r="O19" s="25">
        <v>0</v>
      </c>
    </row>
    <row r="20" spans="3:15" x14ac:dyDescent="0.35">
      <c r="C20" s="40"/>
      <c r="D20" s="40"/>
      <c r="E20" s="40"/>
      <c r="F20" s="31">
        <f>SUM(F19)</f>
        <v>0</v>
      </c>
      <c r="G20" s="31">
        <f t="shared" ref="G20:O20" si="5">SUM(G19)</f>
        <v>0</v>
      </c>
      <c r="H20" s="31">
        <f t="shared" si="5"/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51257</v>
      </c>
      <c r="N20" s="31">
        <f t="shared" si="5"/>
        <v>0</v>
      </c>
      <c r="O20" s="31">
        <f t="shared" si="5"/>
        <v>0</v>
      </c>
    </row>
    <row r="21" spans="3:15" x14ac:dyDescent="0.35">
      <c r="C21" s="37" t="s">
        <v>28</v>
      </c>
      <c r="D21" s="38" t="s">
        <v>29</v>
      </c>
      <c r="E21" s="39" t="s">
        <v>16</v>
      </c>
      <c r="F21" s="27">
        <v>0</v>
      </c>
      <c r="G21" s="27">
        <v>0</v>
      </c>
      <c r="H21" s="28">
        <f t="shared" si="3"/>
        <v>0</v>
      </c>
      <c r="I21" s="28">
        <f t="shared" si="4"/>
        <v>0</v>
      </c>
      <c r="J21" s="25">
        <v>0</v>
      </c>
      <c r="K21" s="29">
        <v>0</v>
      </c>
      <c r="L21" s="25">
        <v>0</v>
      </c>
      <c r="M21" s="27">
        <f>'08-03-2026'!J75</f>
        <v>33969</v>
      </c>
      <c r="N21" s="29">
        <v>0</v>
      </c>
      <c r="O21" s="25">
        <v>0</v>
      </c>
    </row>
    <row r="22" spans="3:15" x14ac:dyDescent="0.35">
      <c r="C22" s="37" t="s">
        <v>28</v>
      </c>
      <c r="D22" s="38" t="s">
        <v>25</v>
      </c>
      <c r="E22" s="39" t="s">
        <v>16</v>
      </c>
      <c r="F22" s="27">
        <v>0</v>
      </c>
      <c r="G22" s="27">
        <v>0</v>
      </c>
      <c r="H22" s="28">
        <f t="shared" si="3"/>
        <v>0</v>
      </c>
      <c r="I22" s="28">
        <f t="shared" si="4"/>
        <v>0</v>
      </c>
      <c r="J22" s="25">
        <v>0</v>
      </c>
      <c r="K22" s="29">
        <v>0</v>
      </c>
      <c r="L22" s="25">
        <v>0</v>
      </c>
      <c r="M22" s="27">
        <f>'08-03-2026'!J76</f>
        <v>18969</v>
      </c>
      <c r="N22" s="29">
        <v>0</v>
      </c>
      <c r="O22" s="25">
        <v>0</v>
      </c>
    </row>
    <row r="23" spans="3:15" x14ac:dyDescent="0.35">
      <c r="C23" s="40" t="s">
        <v>22</v>
      </c>
      <c r="D23" s="40"/>
      <c r="E23" s="40"/>
      <c r="F23" s="31">
        <f t="shared" ref="F23:L23" si="6">SUM(F21:F22)</f>
        <v>0</v>
      </c>
      <c r="G23" s="31">
        <f t="shared" si="6"/>
        <v>0</v>
      </c>
      <c r="H23" s="31">
        <f t="shared" si="6"/>
        <v>0</v>
      </c>
      <c r="I23" s="31">
        <f t="shared" si="6"/>
        <v>0</v>
      </c>
      <c r="J23" s="31">
        <f t="shared" si="6"/>
        <v>0</v>
      </c>
      <c r="K23" s="31">
        <f>SUM(K21:K22)</f>
        <v>0</v>
      </c>
      <c r="L23" s="31">
        <f t="shared" si="6"/>
        <v>0</v>
      </c>
      <c r="M23" s="31">
        <f>SUM(F23:L23)</f>
        <v>0</v>
      </c>
      <c r="N23" s="31">
        <f t="shared" ref="N23:O23" si="7">SUM(N21:N22)</f>
        <v>0</v>
      </c>
      <c r="O23" s="31">
        <f t="shared" si="7"/>
        <v>0</v>
      </c>
    </row>
    <row r="24" spans="3:15" x14ac:dyDescent="0.35">
      <c r="C24" s="37" t="s">
        <v>30</v>
      </c>
      <c r="D24" s="38" t="s">
        <v>29</v>
      </c>
      <c r="E24" s="39" t="s">
        <v>16</v>
      </c>
      <c r="F24" s="32">
        <v>0</v>
      </c>
      <c r="G24" s="32">
        <v>0</v>
      </c>
      <c r="H24" s="28">
        <f t="shared" si="3"/>
        <v>0</v>
      </c>
      <c r="I24" s="28">
        <f t="shared" si="4"/>
        <v>0</v>
      </c>
      <c r="J24" s="33">
        <v>0</v>
      </c>
      <c r="K24" s="34">
        <v>0</v>
      </c>
      <c r="L24" s="33">
        <v>0</v>
      </c>
      <c r="M24" s="32">
        <f>'08-03-2026'!J79</f>
        <v>89658</v>
      </c>
      <c r="N24" s="34">
        <v>0</v>
      </c>
      <c r="O24" s="33">
        <v>0</v>
      </c>
    </row>
    <row r="25" spans="3:15" x14ac:dyDescent="0.35">
      <c r="C25" s="37" t="s">
        <v>30</v>
      </c>
      <c r="D25" s="38" t="s">
        <v>31</v>
      </c>
      <c r="E25" s="39" t="s">
        <v>16</v>
      </c>
      <c r="F25" s="32">
        <v>0</v>
      </c>
      <c r="G25" s="32">
        <v>0</v>
      </c>
      <c r="H25" s="28">
        <f t="shared" si="3"/>
        <v>0</v>
      </c>
      <c r="I25" s="28">
        <f t="shared" si="4"/>
        <v>0</v>
      </c>
      <c r="J25" s="33">
        <v>0</v>
      </c>
      <c r="K25" s="34">
        <v>0</v>
      </c>
      <c r="L25" s="33">
        <v>0</v>
      </c>
      <c r="M25" s="32">
        <f>'08-03-2026'!J80</f>
        <v>17000</v>
      </c>
      <c r="N25" s="34">
        <v>0</v>
      </c>
      <c r="O25" s="33">
        <v>0</v>
      </c>
    </row>
    <row r="26" spans="3:15" x14ac:dyDescent="0.35">
      <c r="C26" s="40" t="s">
        <v>22</v>
      </c>
      <c r="D26" s="40"/>
      <c r="E26" s="40"/>
      <c r="F26" s="31">
        <f>SUM(F24:F25)</f>
        <v>0</v>
      </c>
      <c r="G26" s="31">
        <f t="shared" ref="G26:O26" si="8">SUM(G24:G25)</f>
        <v>0</v>
      </c>
      <c r="H26" s="31">
        <f t="shared" si="8"/>
        <v>0</v>
      </c>
      <c r="I26" s="31">
        <f t="shared" si="8"/>
        <v>0</v>
      </c>
      <c r="J26" s="31">
        <f t="shared" si="8"/>
        <v>0</v>
      </c>
      <c r="K26" s="31">
        <f t="shared" si="8"/>
        <v>0</v>
      </c>
      <c r="L26" s="31">
        <f t="shared" si="8"/>
        <v>0</v>
      </c>
      <c r="M26" s="31">
        <f t="shared" si="8"/>
        <v>106658</v>
      </c>
      <c r="N26" s="31">
        <f t="shared" si="8"/>
        <v>0</v>
      </c>
      <c r="O26" s="31">
        <f t="shared" si="8"/>
        <v>0</v>
      </c>
    </row>
    <row r="27" spans="3:15" x14ac:dyDescent="0.35">
      <c r="C27" s="37" t="s">
        <v>32</v>
      </c>
      <c r="D27" s="38" t="s">
        <v>33</v>
      </c>
      <c r="E27" s="39" t="s">
        <v>95</v>
      </c>
      <c r="F27" s="35">
        <v>55524</v>
      </c>
      <c r="G27" s="27">
        <v>0</v>
      </c>
      <c r="H27" s="28">
        <f t="shared" si="3"/>
        <v>55524</v>
      </c>
      <c r="I27" s="28">
        <f t="shared" si="4"/>
        <v>36927</v>
      </c>
      <c r="J27" s="25">
        <v>18597</v>
      </c>
      <c r="K27" s="29">
        <v>0</v>
      </c>
      <c r="L27" s="25">
        <v>0</v>
      </c>
      <c r="M27" s="27">
        <f>'08-03-2026'!J67</f>
        <v>1432028</v>
      </c>
      <c r="N27" s="29">
        <v>0</v>
      </c>
      <c r="O27" s="25">
        <v>71325</v>
      </c>
    </row>
    <row r="28" spans="3:15" x14ac:dyDescent="0.35">
      <c r="C28" s="37" t="s">
        <v>32</v>
      </c>
      <c r="D28" s="38" t="s">
        <v>31</v>
      </c>
      <c r="E28" s="39" t="s">
        <v>16</v>
      </c>
      <c r="F28" s="35">
        <v>0</v>
      </c>
      <c r="G28" s="27">
        <v>0</v>
      </c>
      <c r="H28" s="28">
        <f t="shared" si="3"/>
        <v>0</v>
      </c>
      <c r="I28" s="28">
        <f t="shared" si="4"/>
        <v>0</v>
      </c>
      <c r="J28" s="25">
        <v>0</v>
      </c>
      <c r="K28" s="29">
        <v>0</v>
      </c>
      <c r="L28" s="25">
        <v>0</v>
      </c>
      <c r="M28" s="27">
        <f>'08-03-2026'!J68</f>
        <v>174473</v>
      </c>
      <c r="N28" s="29">
        <v>0</v>
      </c>
      <c r="O28" s="25">
        <v>0</v>
      </c>
    </row>
    <row r="29" spans="3:15" x14ac:dyDescent="0.35">
      <c r="C29" s="37" t="s">
        <v>32</v>
      </c>
      <c r="D29" s="38" t="s">
        <v>26</v>
      </c>
      <c r="E29" s="39" t="s">
        <v>16</v>
      </c>
      <c r="F29" s="35">
        <v>0</v>
      </c>
      <c r="G29" s="27">
        <v>0</v>
      </c>
      <c r="H29" s="28">
        <f t="shared" si="3"/>
        <v>0</v>
      </c>
      <c r="I29" s="28">
        <f t="shared" si="4"/>
        <v>0</v>
      </c>
      <c r="J29" s="25">
        <v>0</v>
      </c>
      <c r="K29" s="29">
        <v>0</v>
      </c>
      <c r="L29" s="25">
        <v>0</v>
      </c>
      <c r="M29" s="27">
        <f>'08-03-2026'!J69</f>
        <v>35126</v>
      </c>
      <c r="N29" s="29">
        <v>0</v>
      </c>
      <c r="O29" s="25">
        <v>0</v>
      </c>
    </row>
    <row r="30" spans="3:15" x14ac:dyDescent="0.35">
      <c r="C30" s="37" t="s">
        <v>32</v>
      </c>
      <c r="D30" s="38" t="s">
        <v>34</v>
      </c>
      <c r="E30" s="39" t="s">
        <v>86</v>
      </c>
      <c r="F30" s="35">
        <v>54430</v>
      </c>
      <c r="G30" s="27">
        <v>0</v>
      </c>
      <c r="H30" s="28">
        <f t="shared" si="3"/>
        <v>54430</v>
      </c>
      <c r="I30" s="28">
        <f t="shared" si="4"/>
        <v>49684</v>
      </c>
      <c r="J30" s="25">
        <v>4746</v>
      </c>
      <c r="K30" s="29">
        <v>0</v>
      </c>
      <c r="L30" s="25">
        <v>0</v>
      </c>
      <c r="M30" s="27">
        <f>'08-03-2026'!J70</f>
        <v>1419313</v>
      </c>
      <c r="N30" s="29">
        <v>0</v>
      </c>
      <c r="O30" s="25">
        <v>52780</v>
      </c>
    </row>
    <row r="31" spans="3:15" x14ac:dyDescent="0.35">
      <c r="C31" s="40" t="s">
        <v>22</v>
      </c>
      <c r="D31" s="40"/>
      <c r="E31" s="40"/>
      <c r="F31" s="31">
        <f>SUM(F27:F30)</f>
        <v>109954</v>
      </c>
      <c r="G31" s="31">
        <f t="shared" ref="G31:O31" si="9">SUM(G27:G30)</f>
        <v>0</v>
      </c>
      <c r="H31" s="31">
        <f t="shared" si="9"/>
        <v>109954</v>
      </c>
      <c r="I31" s="31">
        <f t="shared" si="9"/>
        <v>86611</v>
      </c>
      <c r="J31" s="31">
        <f t="shared" si="9"/>
        <v>23343</v>
      </c>
      <c r="K31" s="31">
        <f t="shared" si="9"/>
        <v>0</v>
      </c>
      <c r="L31" s="31">
        <f t="shared" si="9"/>
        <v>0</v>
      </c>
      <c r="M31" s="31">
        <f t="shared" si="9"/>
        <v>3060940</v>
      </c>
      <c r="N31" s="31">
        <f t="shared" si="9"/>
        <v>0</v>
      </c>
      <c r="O31" s="31">
        <f t="shared" si="9"/>
        <v>124105</v>
      </c>
    </row>
    <row r="32" spans="3:15" x14ac:dyDescent="0.35">
      <c r="C32" s="41" t="s">
        <v>35</v>
      </c>
      <c r="D32" s="41"/>
      <c r="E32" s="41"/>
      <c r="F32" s="36">
        <f t="shared" ref="F32:O32" si="10">F31+F26+F23+F20+F18+F11</f>
        <v>1060021</v>
      </c>
      <c r="G32" s="36">
        <f t="shared" si="10"/>
        <v>3533</v>
      </c>
      <c r="H32" s="36">
        <f t="shared" si="10"/>
        <v>1056488</v>
      </c>
      <c r="I32" s="36">
        <f t="shared" si="10"/>
        <v>759594</v>
      </c>
      <c r="J32" s="36">
        <f t="shared" si="10"/>
        <v>296894</v>
      </c>
      <c r="K32" s="36">
        <f t="shared" si="10"/>
        <v>0</v>
      </c>
      <c r="L32" s="36">
        <f t="shared" si="10"/>
        <v>0</v>
      </c>
      <c r="M32" s="36">
        <f t="shared" si="10"/>
        <v>13787941</v>
      </c>
      <c r="N32" s="36">
        <f t="shared" si="10"/>
        <v>0</v>
      </c>
      <c r="O32" s="36">
        <f t="shared" si="10"/>
        <v>868672</v>
      </c>
    </row>
    <row r="33" spans="3:15" x14ac:dyDescent="0.35">
      <c r="F33" s="49" t="s">
        <v>36</v>
      </c>
      <c r="G33" s="25">
        <f>O11+L11+J11-K11</f>
        <v>468823</v>
      </c>
      <c r="H33" s="200"/>
      <c r="I33" s="201"/>
      <c r="J33" s="50"/>
      <c r="K33" s="51"/>
      <c r="L33" s="51"/>
    </row>
    <row r="34" spans="3:15" x14ac:dyDescent="0.35">
      <c r="F34" s="52" t="s">
        <v>37</v>
      </c>
      <c r="G34" s="25">
        <f>O18+L18+J18-K18+O20+L20+J20-K20</f>
        <v>549295</v>
      </c>
      <c r="H34" s="53"/>
      <c r="I34" s="54" t="s">
        <v>89</v>
      </c>
      <c r="J34" s="54" t="s">
        <v>90</v>
      </c>
      <c r="K34" s="192" t="s">
        <v>88</v>
      </c>
      <c r="L34" s="193"/>
      <c r="M34" s="202" t="s">
        <v>87</v>
      </c>
      <c r="N34" s="203"/>
      <c r="O34" s="204"/>
    </row>
    <row r="35" spans="3:15" x14ac:dyDescent="0.35">
      <c r="C35" s="205" t="s">
        <v>68</v>
      </c>
      <c r="D35" s="206"/>
      <c r="F35" s="55" t="s">
        <v>38</v>
      </c>
      <c r="G35" s="25">
        <f>O23+L23+J23-K23</f>
        <v>0</v>
      </c>
      <c r="H35" s="53"/>
      <c r="I35" s="54"/>
      <c r="J35" s="57"/>
      <c r="K35" s="192"/>
      <c r="L35" s="193"/>
      <c r="M35" s="59"/>
      <c r="N35" s="58"/>
      <c r="O35" s="60"/>
    </row>
    <row r="36" spans="3:15" x14ac:dyDescent="0.35">
      <c r="C36" s="61"/>
      <c r="D36" s="61"/>
      <c r="F36" s="62" t="s">
        <v>30</v>
      </c>
      <c r="G36" s="25">
        <f>O26+L26+J26-K26</f>
        <v>0</v>
      </c>
      <c r="H36" s="53"/>
      <c r="I36" s="56"/>
      <c r="J36" s="57"/>
      <c r="K36" s="192"/>
      <c r="L36" s="193"/>
      <c r="M36" s="59"/>
      <c r="N36" s="58"/>
      <c r="O36" s="60"/>
    </row>
    <row r="37" spans="3:15" x14ac:dyDescent="0.35">
      <c r="C37" s="61"/>
      <c r="D37" s="61"/>
      <c r="F37" s="49" t="s">
        <v>39</v>
      </c>
      <c r="G37" s="25">
        <f>O31+L31+J31-K31</f>
        <v>147448</v>
      </c>
      <c r="H37" s="53"/>
      <c r="I37" s="56"/>
      <c r="J37" s="57"/>
      <c r="K37" s="192"/>
      <c r="L37" s="193"/>
      <c r="M37" s="59"/>
      <c r="N37" s="58"/>
      <c r="O37" s="60"/>
    </row>
    <row r="38" spans="3:15" x14ac:dyDescent="0.35">
      <c r="C38" s="61"/>
      <c r="D38" s="61"/>
      <c r="F38" s="63" t="s">
        <v>40</v>
      </c>
      <c r="G38" s="26">
        <f>SUM(G33:G37)</f>
        <v>1165566</v>
      </c>
      <c r="I38" s="61"/>
      <c r="J38" s="57"/>
      <c r="K38" s="192"/>
      <c r="L38" s="193"/>
      <c r="M38" s="59"/>
      <c r="N38" s="58"/>
      <c r="O38" s="60"/>
    </row>
    <row r="39" spans="3:15" x14ac:dyDescent="0.35">
      <c r="C39" s="61"/>
      <c r="D39" s="61"/>
      <c r="F39" s="64"/>
      <c r="G39" s="65"/>
      <c r="I39" s="61"/>
      <c r="J39" s="57"/>
      <c r="K39" s="192"/>
      <c r="L39" s="193"/>
      <c r="M39" s="59"/>
      <c r="N39" s="58"/>
      <c r="O39" s="60"/>
    </row>
    <row r="40" spans="3:15" x14ac:dyDescent="0.35">
      <c r="C40" s="61"/>
      <c r="D40" s="61"/>
      <c r="F40" s="64"/>
      <c r="G40" s="65"/>
      <c r="I40" s="61"/>
      <c r="J40" s="57"/>
      <c r="K40" s="58"/>
      <c r="L40" s="58"/>
      <c r="M40" s="59"/>
      <c r="N40" s="58"/>
      <c r="O40" s="60"/>
    </row>
    <row r="41" spans="3:15" x14ac:dyDescent="0.35">
      <c r="C41" s="61"/>
      <c r="D41" s="61"/>
      <c r="F41" s="64"/>
      <c r="G41" s="65"/>
      <c r="I41" s="61"/>
      <c r="J41" s="57"/>
      <c r="K41" s="58"/>
      <c r="L41" s="58"/>
      <c r="M41" s="59"/>
      <c r="N41" s="58"/>
      <c r="O41" s="60"/>
    </row>
    <row r="42" spans="3:15" x14ac:dyDescent="0.35">
      <c r="C42" s="61"/>
      <c r="D42" s="61"/>
      <c r="F42" s="64"/>
      <c r="G42" s="65"/>
      <c r="I42" s="61"/>
      <c r="J42" s="57"/>
      <c r="K42" s="58"/>
      <c r="L42" s="58"/>
      <c r="M42" s="59"/>
      <c r="N42" s="58"/>
      <c r="O42" s="60"/>
    </row>
    <row r="43" spans="3:15" x14ac:dyDescent="0.35">
      <c r="C43" s="61"/>
      <c r="D43" s="61"/>
      <c r="F43" s="64"/>
      <c r="G43" s="65"/>
      <c r="I43" s="61"/>
      <c r="J43" s="57"/>
      <c r="K43" s="191"/>
      <c r="L43" s="193"/>
      <c r="M43" s="191"/>
      <c r="N43" s="192"/>
      <c r="O43" s="193"/>
    </row>
    <row r="44" spans="3:15" x14ac:dyDescent="0.35">
      <c r="C44" s="61"/>
      <c r="D44" s="61"/>
      <c r="F44" s="64"/>
      <c r="G44" s="65"/>
      <c r="I44" s="61"/>
      <c r="J44" s="54"/>
      <c r="K44" s="191"/>
      <c r="L44" s="193"/>
      <c r="M44" s="191"/>
      <c r="N44" s="192"/>
      <c r="O44" s="193"/>
    </row>
    <row r="45" spans="3:15" x14ac:dyDescent="0.35">
      <c r="C45" s="61"/>
      <c r="D45" s="61"/>
      <c r="F45" s="64"/>
      <c r="G45" s="65"/>
      <c r="I45" s="61"/>
      <c r="J45" s="54"/>
      <c r="K45" s="191"/>
      <c r="L45" s="193"/>
      <c r="M45" s="191"/>
      <c r="N45" s="192"/>
      <c r="O45" s="193"/>
    </row>
    <row r="46" spans="3:15" x14ac:dyDescent="0.35">
      <c r="C46" s="61"/>
      <c r="D46" s="61"/>
      <c r="F46" s="64"/>
      <c r="G46" s="65"/>
      <c r="I46" s="61"/>
      <c r="J46" s="54"/>
      <c r="K46" s="191"/>
      <c r="L46" s="193"/>
      <c r="M46" s="191"/>
      <c r="N46" s="192"/>
      <c r="O46" s="193"/>
    </row>
    <row r="47" spans="3:15" x14ac:dyDescent="0.35">
      <c r="C47" s="61"/>
      <c r="D47" s="61"/>
      <c r="F47" s="64"/>
      <c r="G47" s="65"/>
      <c r="I47" s="61"/>
      <c r="J47" s="54"/>
      <c r="K47" s="191"/>
      <c r="L47" s="193"/>
      <c r="M47" s="191"/>
      <c r="N47" s="192"/>
      <c r="O47" s="193"/>
    </row>
    <row r="48" spans="3:15" x14ac:dyDescent="0.35">
      <c r="H48" s="209" t="s">
        <v>41</v>
      </c>
      <c r="I48" s="209"/>
      <c r="J48" s="209"/>
      <c r="K48" s="210"/>
      <c r="L48" s="46"/>
      <c r="M48" s="66"/>
    </row>
    <row r="49" spans="3:14" x14ac:dyDescent="0.35">
      <c r="H49" s="67" t="s">
        <v>42</v>
      </c>
      <c r="I49" s="67" t="s">
        <v>43</v>
      </c>
      <c r="J49" s="67" t="s">
        <v>44</v>
      </c>
      <c r="K49" s="210"/>
      <c r="L49" s="66"/>
    </row>
    <row r="50" spans="3:14" x14ac:dyDescent="0.35">
      <c r="F50" s="68"/>
      <c r="H50" s="42" t="s">
        <v>14</v>
      </c>
      <c r="I50" s="42" t="s">
        <v>15</v>
      </c>
      <c r="J50" s="68">
        <f>M5-O5-N5-L5+I5</f>
        <v>297685</v>
      </c>
      <c r="K50" s="69">
        <v>297685</v>
      </c>
      <c r="L50" s="70">
        <f>J50-K50</f>
        <v>0</v>
      </c>
      <c r="M50" s="68"/>
    </row>
    <row r="51" spans="3:14" x14ac:dyDescent="0.35">
      <c r="C51" s="211">
        <v>45931</v>
      </c>
      <c r="D51" s="211"/>
      <c r="E51" s="211"/>
      <c r="H51" s="42" t="s">
        <v>14</v>
      </c>
      <c r="I51" s="42" t="s">
        <v>17</v>
      </c>
      <c r="J51" s="68">
        <f>M6-O6-N6-L6+I6+G51</f>
        <v>3550290</v>
      </c>
      <c r="K51" s="69">
        <v>3610738</v>
      </c>
      <c r="L51" s="70">
        <f t="shared" ref="L51:L62" si="11">J51-K51</f>
        <v>-60448</v>
      </c>
      <c r="M51" s="68"/>
    </row>
    <row r="52" spans="3:14" x14ac:dyDescent="0.35">
      <c r="C52" s="212" t="s">
        <v>63</v>
      </c>
      <c r="D52" s="212"/>
      <c r="E52" s="212"/>
      <c r="H52" s="42" t="s">
        <v>14</v>
      </c>
      <c r="I52" s="42" t="s">
        <v>18</v>
      </c>
      <c r="J52" s="68">
        <f>M7-O7-N7-L7+I7+G52</f>
        <v>1468781</v>
      </c>
      <c r="K52" s="69">
        <v>1468782</v>
      </c>
      <c r="L52" s="70">
        <f t="shared" si="11"/>
        <v>-1</v>
      </c>
      <c r="M52" s="68"/>
    </row>
    <row r="53" spans="3:14" x14ac:dyDescent="0.35">
      <c r="C53" s="61" t="s">
        <v>64</v>
      </c>
      <c r="D53" s="213">
        <f>'Opening Balance FEB 2026'!J4</f>
        <v>1308640</v>
      </c>
      <c r="E53" s="214"/>
      <c r="H53" s="42" t="s">
        <v>14</v>
      </c>
      <c r="I53" s="42" t="s">
        <v>19</v>
      </c>
      <c r="J53" s="68">
        <f>M8-O8-N8-L8+I8+G53</f>
        <v>1033158</v>
      </c>
      <c r="K53" s="69">
        <v>1033190</v>
      </c>
      <c r="L53" s="70">
        <f t="shared" si="11"/>
        <v>-32</v>
      </c>
      <c r="M53" s="68"/>
    </row>
    <row r="54" spans="3:14" x14ac:dyDescent="0.35">
      <c r="C54" s="61" t="s">
        <v>65</v>
      </c>
      <c r="D54" s="213">
        <f>G38</f>
        <v>1165566</v>
      </c>
      <c r="E54" s="214"/>
      <c r="H54" s="42" t="s">
        <v>14</v>
      </c>
      <c r="I54" s="42" t="s">
        <v>20</v>
      </c>
      <c r="J54" s="68">
        <f>M9-O9-N9-L9+I9+G54</f>
        <v>1294633</v>
      </c>
      <c r="K54" s="69">
        <v>1242441</v>
      </c>
      <c r="L54" s="70">
        <f t="shared" si="11"/>
        <v>52192</v>
      </c>
      <c r="M54" s="68"/>
    </row>
    <row r="55" spans="3:14" x14ac:dyDescent="0.35">
      <c r="C55" s="71" t="s">
        <v>45</v>
      </c>
      <c r="D55" s="215">
        <f>D53+D54</f>
        <v>2474206</v>
      </c>
      <c r="E55" s="216"/>
      <c r="H55" s="42" t="s">
        <v>14</v>
      </c>
      <c r="I55" s="42" t="s">
        <v>21</v>
      </c>
      <c r="J55" s="68">
        <f>M10-O10-N10-L10+I10+G55</f>
        <v>585584</v>
      </c>
      <c r="K55" s="69">
        <v>585585</v>
      </c>
      <c r="L55" s="70">
        <f t="shared" si="11"/>
        <v>-1</v>
      </c>
    </row>
    <row r="56" spans="3:14" x14ac:dyDescent="0.35">
      <c r="C56" s="61" t="s">
        <v>66</v>
      </c>
      <c r="D56" s="207">
        <v>0</v>
      </c>
      <c r="E56" s="208"/>
      <c r="H56" s="72" t="s">
        <v>45</v>
      </c>
      <c r="I56" s="72"/>
      <c r="J56" s="73">
        <f>SUM(J50:J55)</f>
        <v>8230131</v>
      </c>
      <c r="K56" s="74">
        <v>8289431</v>
      </c>
      <c r="L56" s="70">
        <f t="shared" si="11"/>
        <v>-59300</v>
      </c>
    </row>
    <row r="57" spans="3:14" x14ac:dyDescent="0.35">
      <c r="C57" s="61" t="s">
        <v>78</v>
      </c>
      <c r="D57" s="207">
        <v>0</v>
      </c>
      <c r="E57" s="208"/>
      <c r="H57" s="72"/>
      <c r="I57" s="72"/>
      <c r="J57" s="73"/>
      <c r="K57" s="75"/>
      <c r="L57" s="70"/>
    </row>
    <row r="58" spans="3:14" x14ac:dyDescent="0.35">
      <c r="C58" s="61" t="s">
        <v>75</v>
      </c>
      <c r="D58" s="207">
        <v>10000</v>
      </c>
      <c r="E58" s="208"/>
      <c r="H58" s="67" t="s">
        <v>42</v>
      </c>
      <c r="I58" s="67" t="s">
        <v>43</v>
      </c>
      <c r="J58" s="67" t="s">
        <v>44</v>
      </c>
      <c r="K58" s="66"/>
      <c r="L58" s="70"/>
    </row>
    <row r="59" spans="3:14" x14ac:dyDescent="0.35">
      <c r="C59" s="76" t="s">
        <v>83</v>
      </c>
      <c r="D59" s="217">
        <f>SUM(D56:E58)</f>
        <v>10000</v>
      </c>
      <c r="E59" s="218"/>
      <c r="H59" s="42" t="s">
        <v>46</v>
      </c>
      <c r="I59" s="42" t="s">
        <v>48</v>
      </c>
      <c r="J59" s="68">
        <f>M12-O12-N12-L12+I12</f>
        <v>445718</v>
      </c>
      <c r="K59" s="69">
        <v>445718</v>
      </c>
      <c r="L59" s="70">
        <f t="shared" si="11"/>
        <v>0</v>
      </c>
    </row>
    <row r="60" spans="3:14" x14ac:dyDescent="0.35">
      <c r="C60" s="77" t="s">
        <v>67</v>
      </c>
      <c r="D60" s="219">
        <f>D55-D56-D58-D57</f>
        <v>2464206</v>
      </c>
      <c r="E60" s="220"/>
      <c r="H60" s="42" t="s">
        <v>46</v>
      </c>
      <c r="I60" s="42" t="s">
        <v>47</v>
      </c>
      <c r="J60" s="68">
        <f>M13-O13-N13-L13+I13+I14</f>
        <v>1364476</v>
      </c>
      <c r="K60" s="69">
        <v>1409476</v>
      </c>
      <c r="L60" s="70">
        <f t="shared" si="11"/>
        <v>-45000</v>
      </c>
      <c r="N60" s="68"/>
    </row>
    <row r="61" spans="3:14" x14ac:dyDescent="0.35">
      <c r="C61" s="78" t="s">
        <v>68</v>
      </c>
      <c r="D61" s="221"/>
      <c r="E61" s="222"/>
      <c r="H61" s="42" t="s">
        <v>46</v>
      </c>
      <c r="I61" s="42" t="s">
        <v>15</v>
      </c>
      <c r="J61" s="68">
        <f>M15-O15-N15-L15+I15</f>
        <v>457177</v>
      </c>
      <c r="K61" s="69">
        <v>457177</v>
      </c>
      <c r="L61" s="70">
        <f t="shared" si="11"/>
        <v>0</v>
      </c>
      <c r="M61" s="68"/>
      <c r="N61" s="68"/>
    </row>
    <row r="62" spans="3:14" x14ac:dyDescent="0.35">
      <c r="C62" s="61" t="s">
        <v>14</v>
      </c>
      <c r="D62" s="213">
        <v>0</v>
      </c>
      <c r="E62" s="214"/>
      <c r="H62" s="42" t="s">
        <v>46</v>
      </c>
      <c r="I62" s="42" t="s">
        <v>20</v>
      </c>
      <c r="J62" s="68">
        <v>8160</v>
      </c>
      <c r="K62" s="69">
        <v>8160</v>
      </c>
      <c r="L62" s="70">
        <f t="shared" si="11"/>
        <v>0</v>
      </c>
    </row>
    <row r="63" spans="3:14" x14ac:dyDescent="0.35">
      <c r="C63" s="61" t="s">
        <v>72</v>
      </c>
      <c r="D63" s="213">
        <v>0</v>
      </c>
      <c r="E63" s="214"/>
      <c r="H63" s="42" t="s">
        <v>27</v>
      </c>
      <c r="I63" s="42" t="s">
        <v>47</v>
      </c>
      <c r="J63" s="68">
        <f>M19-O19-N19-L19+I19</f>
        <v>51257</v>
      </c>
      <c r="K63" s="69">
        <v>51257</v>
      </c>
      <c r="L63" s="70">
        <f>J63-K63</f>
        <v>0</v>
      </c>
    </row>
    <row r="64" spans="3:14" x14ac:dyDescent="0.35">
      <c r="C64" s="61" t="s">
        <v>69</v>
      </c>
      <c r="D64" s="213">
        <v>0</v>
      </c>
      <c r="E64" s="214"/>
      <c r="H64" s="72" t="s">
        <v>45</v>
      </c>
      <c r="I64" s="72"/>
      <c r="J64" s="73">
        <f>SUM(J59:J63)</f>
        <v>2326788</v>
      </c>
      <c r="K64" s="69">
        <f>SUM(K59:K63)</f>
        <v>2371788</v>
      </c>
      <c r="L64" s="70">
        <f>J64-K64</f>
        <v>-45000</v>
      </c>
    </row>
    <row r="65" spans="3:14" x14ac:dyDescent="0.35">
      <c r="C65" s="61" t="s">
        <v>70</v>
      </c>
      <c r="D65" s="213">
        <v>0</v>
      </c>
      <c r="E65" s="214"/>
      <c r="F65" s="68"/>
      <c r="H65" s="67" t="s">
        <v>42</v>
      </c>
      <c r="I65" s="67" t="s">
        <v>43</v>
      </c>
      <c r="J65" s="67" t="s">
        <v>44</v>
      </c>
    </row>
    <row r="66" spans="3:14" x14ac:dyDescent="0.35">
      <c r="C66" s="61" t="s">
        <v>71</v>
      </c>
      <c r="D66" s="213">
        <v>0</v>
      </c>
      <c r="E66" s="214"/>
      <c r="F66" s="79"/>
      <c r="G66" s="80"/>
      <c r="H66" s="42" t="s">
        <v>49</v>
      </c>
      <c r="I66" s="42" t="s">
        <v>51</v>
      </c>
      <c r="J66" s="68">
        <f>M27-O27-N27-L27+I27</f>
        <v>1397630</v>
      </c>
      <c r="K66" s="69">
        <v>1343015</v>
      </c>
      <c r="L66" s="70">
        <f t="shared" ref="L66:L72" si="12">J66-K66</f>
        <v>54615</v>
      </c>
      <c r="N66" s="68"/>
    </row>
    <row r="67" spans="3:14" x14ac:dyDescent="0.35">
      <c r="C67" s="77" t="s">
        <v>73</v>
      </c>
      <c r="D67" s="219">
        <f>SUM(D62:D66)</f>
        <v>0</v>
      </c>
      <c r="E67" s="220"/>
      <c r="F67" s="68"/>
      <c r="H67" s="42" t="s">
        <v>49</v>
      </c>
      <c r="I67" s="42" t="s">
        <v>18</v>
      </c>
      <c r="J67" s="68">
        <f>M28-O28-N28-L28+I28</f>
        <v>174473</v>
      </c>
      <c r="K67" s="69">
        <v>174473</v>
      </c>
      <c r="L67" s="70">
        <f t="shared" si="12"/>
        <v>0</v>
      </c>
    </row>
    <row r="68" spans="3:14" x14ac:dyDescent="0.35">
      <c r="C68" s="81" t="s">
        <v>74</v>
      </c>
      <c r="D68" s="223">
        <f>D60-D67</f>
        <v>2464206</v>
      </c>
      <c r="E68" s="224"/>
      <c r="F68" s="68"/>
      <c r="H68" s="42" t="s">
        <v>49</v>
      </c>
      <c r="I68" s="42" t="s">
        <v>15</v>
      </c>
      <c r="J68" s="68">
        <f>M29-O29-N29-L29+I29</f>
        <v>35126</v>
      </c>
      <c r="K68" s="69">
        <v>35126</v>
      </c>
      <c r="L68" s="70">
        <f t="shared" si="12"/>
        <v>0</v>
      </c>
    </row>
    <row r="69" spans="3:14" x14ac:dyDescent="0.35">
      <c r="C69" s="61"/>
      <c r="D69" s="213">
        <v>3102990</v>
      </c>
      <c r="E69" s="214"/>
      <c r="H69" s="42" t="s">
        <v>49</v>
      </c>
      <c r="I69" s="42" t="s">
        <v>50</v>
      </c>
      <c r="J69" s="68">
        <f>M30-O30-N30-L30+I30+G69</f>
        <v>1416217</v>
      </c>
      <c r="K69" s="69">
        <v>1416217</v>
      </c>
      <c r="L69" s="70">
        <f t="shared" si="12"/>
        <v>0</v>
      </c>
    </row>
    <row r="70" spans="3:14" x14ac:dyDescent="0.35">
      <c r="C70" s="61"/>
      <c r="D70" s="213">
        <f>D68-D69</f>
        <v>-638784</v>
      </c>
      <c r="E70" s="214"/>
      <c r="H70" s="42" t="s">
        <v>49</v>
      </c>
      <c r="I70" s="42" t="s">
        <v>20</v>
      </c>
      <c r="J70" s="68">
        <f>'Opening Balance FEB 2026'!F24</f>
        <v>66046</v>
      </c>
      <c r="K70" s="69">
        <v>96296</v>
      </c>
      <c r="L70" s="70">
        <f t="shared" si="12"/>
        <v>-30250</v>
      </c>
    </row>
    <row r="71" spans="3:14" x14ac:dyDescent="0.35">
      <c r="H71" s="42" t="s">
        <v>49</v>
      </c>
      <c r="I71" s="42" t="s">
        <v>47</v>
      </c>
      <c r="J71" s="68">
        <f>'Opening Balance FEB 2026'!F25</f>
        <v>23570</v>
      </c>
      <c r="K71" s="69">
        <v>23570</v>
      </c>
      <c r="L71" s="70">
        <f t="shared" si="12"/>
        <v>0</v>
      </c>
    </row>
    <row r="72" spans="3:14" x14ac:dyDescent="0.35">
      <c r="H72" s="72" t="s">
        <v>45</v>
      </c>
      <c r="I72" s="72"/>
      <c r="J72" s="73">
        <f>SUM(J66:J71)</f>
        <v>3113062</v>
      </c>
      <c r="K72" s="69">
        <v>3083697</v>
      </c>
      <c r="L72" s="70">
        <f t="shared" si="12"/>
        <v>29365</v>
      </c>
      <c r="N72" s="68"/>
    </row>
    <row r="73" spans="3:14" x14ac:dyDescent="0.35">
      <c r="H73" s="67" t="s">
        <v>42</v>
      </c>
      <c r="I73" s="67" t="s">
        <v>43</v>
      </c>
      <c r="J73" s="67" t="s">
        <v>44</v>
      </c>
    </row>
    <row r="74" spans="3:14" x14ac:dyDescent="0.35">
      <c r="H74" s="42" t="s">
        <v>52</v>
      </c>
      <c r="I74" s="42" t="s">
        <v>53</v>
      </c>
      <c r="J74" s="68">
        <f>M21-O21-N21-L21+I21-G73</f>
        <v>33969</v>
      </c>
      <c r="K74" s="68">
        <v>33969</v>
      </c>
      <c r="L74" s="70">
        <f>J74-K74</f>
        <v>0</v>
      </c>
    </row>
    <row r="75" spans="3:14" x14ac:dyDescent="0.35">
      <c r="H75" s="42" t="s">
        <v>52</v>
      </c>
      <c r="I75" s="42" t="s">
        <v>47</v>
      </c>
      <c r="J75" s="68">
        <f>M22-O22-N22-L22+I22</f>
        <v>18969</v>
      </c>
      <c r="K75" s="82">
        <v>33969</v>
      </c>
      <c r="L75" s="70">
        <f>J75-K75</f>
        <v>-15000</v>
      </c>
    </row>
    <row r="76" spans="3:14" x14ac:dyDescent="0.35">
      <c r="H76" s="72" t="s">
        <v>45</v>
      </c>
      <c r="I76" s="72"/>
      <c r="J76" s="73">
        <f>SUM(J74:J75)</f>
        <v>52938</v>
      </c>
      <c r="K76" s="68">
        <v>160846</v>
      </c>
      <c r="L76" s="70">
        <f>J76-K76</f>
        <v>-107908</v>
      </c>
    </row>
    <row r="77" spans="3:14" x14ac:dyDescent="0.35">
      <c r="G77" s="42">
        <v>0</v>
      </c>
      <c r="H77" s="67" t="s">
        <v>42</v>
      </c>
      <c r="I77" s="67" t="s">
        <v>43</v>
      </c>
      <c r="J77" s="67" t="s">
        <v>44</v>
      </c>
      <c r="K77" s="69">
        <v>0</v>
      </c>
      <c r="L77" s="70"/>
    </row>
    <row r="78" spans="3:14" x14ac:dyDescent="0.35">
      <c r="H78" s="42" t="s">
        <v>54</v>
      </c>
      <c r="I78" s="42" t="s">
        <v>53</v>
      </c>
      <c r="J78" s="68">
        <f>M24-O24-N24-L24+I24-G77</f>
        <v>89658</v>
      </c>
      <c r="K78" s="69">
        <v>89658</v>
      </c>
      <c r="L78" s="70">
        <f>J78-K78</f>
        <v>0</v>
      </c>
    </row>
    <row r="79" spans="3:14" x14ac:dyDescent="0.35">
      <c r="H79" s="42" t="s">
        <v>54</v>
      </c>
      <c r="I79" s="42" t="s">
        <v>18</v>
      </c>
      <c r="J79" s="68">
        <f>M25-O25-N25-L25+I25</f>
        <v>17000</v>
      </c>
      <c r="K79" s="69">
        <v>67000</v>
      </c>
      <c r="L79" s="70">
        <f>J79-K79</f>
        <v>-50000</v>
      </c>
    </row>
    <row r="80" spans="3:14" x14ac:dyDescent="0.35">
      <c r="H80" s="72" t="s">
        <v>45</v>
      </c>
      <c r="I80" s="72"/>
      <c r="J80" s="73">
        <f>SUM(J78:J79)</f>
        <v>106658</v>
      </c>
      <c r="K80" s="68">
        <f>SUM(K77:K79)</f>
        <v>156658</v>
      </c>
      <c r="L80" s="70">
        <f>J80-K80</f>
        <v>-50000</v>
      </c>
    </row>
    <row r="81" spans="4:12" x14ac:dyDescent="0.35">
      <c r="H81" s="67" t="s">
        <v>42</v>
      </c>
      <c r="I81" s="67" t="s">
        <v>43</v>
      </c>
      <c r="J81" s="67" t="s">
        <v>44</v>
      </c>
      <c r="K81" s="69">
        <v>0</v>
      </c>
      <c r="L81" s="70"/>
    </row>
    <row r="82" spans="4:12" x14ac:dyDescent="0.35">
      <c r="H82" s="42" t="s">
        <v>55</v>
      </c>
      <c r="I82" s="42" t="s">
        <v>56</v>
      </c>
      <c r="J82" s="68">
        <f>'Opening Balance FEB 2026'!F36</f>
        <v>103541</v>
      </c>
      <c r="K82" s="69">
        <v>103541</v>
      </c>
      <c r="L82" s="70">
        <f>J82-K82</f>
        <v>0</v>
      </c>
    </row>
    <row r="83" spans="4:12" x14ac:dyDescent="0.35">
      <c r="H83" s="42" t="s">
        <v>55</v>
      </c>
      <c r="I83" s="42" t="s">
        <v>47</v>
      </c>
      <c r="J83" s="68">
        <f>'Opening Balance FEB 2026'!F37</f>
        <v>6013</v>
      </c>
      <c r="K83" s="69">
        <v>6013</v>
      </c>
      <c r="L83" s="70">
        <f>J83-K83</f>
        <v>0</v>
      </c>
    </row>
    <row r="84" spans="4:12" x14ac:dyDescent="0.35">
      <c r="H84" s="72" t="s">
        <v>45</v>
      </c>
      <c r="I84" s="72"/>
      <c r="J84" s="73">
        <v>109554</v>
      </c>
      <c r="K84" s="68">
        <f>SUM(K81:K83)</f>
        <v>109554</v>
      </c>
      <c r="L84" s="70">
        <f>J84-K84</f>
        <v>0</v>
      </c>
    </row>
    <row r="85" spans="4:12" x14ac:dyDescent="0.35">
      <c r="H85" s="67" t="s">
        <v>42</v>
      </c>
      <c r="I85" s="67" t="s">
        <v>43</v>
      </c>
      <c r="J85" s="67" t="s">
        <v>44</v>
      </c>
      <c r="K85" s="69">
        <v>0</v>
      </c>
      <c r="L85" s="70"/>
    </row>
    <row r="86" spans="4:12" x14ac:dyDescent="0.35">
      <c r="H86" s="42" t="s">
        <v>57</v>
      </c>
      <c r="I86" s="42" t="s">
        <v>47</v>
      </c>
      <c r="J86" s="68">
        <f>'Opening Balance FEB 2026'!F40</f>
        <v>16440</v>
      </c>
      <c r="K86" s="69">
        <v>16440</v>
      </c>
      <c r="L86" s="70">
        <f>J86-K86</f>
        <v>0</v>
      </c>
    </row>
    <row r="87" spans="4:12" x14ac:dyDescent="0.35">
      <c r="H87" s="72" t="s">
        <v>45</v>
      </c>
      <c r="I87" s="72"/>
      <c r="J87" s="73">
        <v>16440</v>
      </c>
      <c r="K87" s="69">
        <f>SUM(K85:K86)</f>
        <v>16440</v>
      </c>
    </row>
    <row r="88" spans="4:12" x14ac:dyDescent="0.35">
      <c r="J88" s="68"/>
    </row>
    <row r="89" spans="4:12" x14ac:dyDescent="0.35">
      <c r="H89" s="83" t="s">
        <v>58</v>
      </c>
      <c r="I89" s="83"/>
      <c r="J89" s="84">
        <f>J87+J84+J80+J76+J72+J64+J56</f>
        <v>13955571</v>
      </c>
    </row>
    <row r="91" spans="4:12" x14ac:dyDescent="0.35">
      <c r="D91" s="85" t="s">
        <v>82</v>
      </c>
      <c r="E91" s="85"/>
      <c r="F91" s="85"/>
      <c r="G91" s="85"/>
      <c r="H91" s="85"/>
    </row>
    <row r="92" spans="4:12" x14ac:dyDescent="0.35">
      <c r="D92" s="78" t="s">
        <v>42</v>
      </c>
      <c r="E92" s="78" t="s">
        <v>43</v>
      </c>
      <c r="F92" s="78" t="s">
        <v>79</v>
      </c>
      <c r="G92" s="78" t="s">
        <v>80</v>
      </c>
      <c r="H92" s="78" t="s">
        <v>81</v>
      </c>
    </row>
    <row r="93" spans="4:12" x14ac:dyDescent="0.35">
      <c r="D93" s="61" t="s">
        <v>14</v>
      </c>
      <c r="E93" s="61" t="s">
        <v>15</v>
      </c>
      <c r="F93" s="86">
        <f>H5</f>
        <v>115756</v>
      </c>
      <c r="G93" s="86">
        <f t="shared" ref="G93:G98" si="13">O5</f>
        <v>18226</v>
      </c>
      <c r="H93" s="86">
        <f t="shared" ref="H93:H98" si="14">I5</f>
        <v>25478</v>
      </c>
    </row>
    <row r="94" spans="4:12" x14ac:dyDescent="0.35">
      <c r="D94" s="61" t="s">
        <v>14</v>
      </c>
      <c r="E94" s="61" t="s">
        <v>17</v>
      </c>
      <c r="F94" s="86">
        <f>H6</f>
        <v>0</v>
      </c>
      <c r="G94" s="86">
        <f t="shared" si="13"/>
        <v>90000</v>
      </c>
      <c r="H94" s="86">
        <f t="shared" si="14"/>
        <v>0</v>
      </c>
    </row>
    <row r="95" spans="4:12" x14ac:dyDescent="0.35">
      <c r="D95" s="61" t="s">
        <v>14</v>
      </c>
      <c r="E95" s="61" t="s">
        <v>18</v>
      </c>
      <c r="F95" s="86">
        <f>H7</f>
        <v>283633</v>
      </c>
      <c r="G95" s="86">
        <f t="shared" si="13"/>
        <v>45927</v>
      </c>
      <c r="H95" s="86">
        <f t="shared" si="14"/>
        <v>282494</v>
      </c>
    </row>
    <row r="96" spans="4:12" x14ac:dyDescent="0.35">
      <c r="D96" s="61" t="s">
        <v>14</v>
      </c>
      <c r="E96" s="61" t="s">
        <v>19</v>
      </c>
      <c r="F96" s="86">
        <f>H8</f>
        <v>104546</v>
      </c>
      <c r="G96" s="86">
        <f t="shared" si="13"/>
        <v>59366</v>
      </c>
      <c r="H96" s="86">
        <f t="shared" si="14"/>
        <v>94729</v>
      </c>
    </row>
    <row r="97" spans="4:8" x14ac:dyDescent="0.35">
      <c r="D97" s="61" t="s">
        <v>14</v>
      </c>
      <c r="E97" s="61" t="s">
        <v>20</v>
      </c>
      <c r="F97" s="86">
        <f>H9</f>
        <v>64344</v>
      </c>
      <c r="G97" s="86">
        <f t="shared" si="13"/>
        <v>67006</v>
      </c>
      <c r="H97" s="86">
        <f t="shared" si="14"/>
        <v>15254</v>
      </c>
    </row>
    <row r="98" spans="4:8" x14ac:dyDescent="0.35">
      <c r="D98" s="61" t="s">
        <v>14</v>
      </c>
      <c r="E98" s="61" t="s">
        <v>21</v>
      </c>
      <c r="F98" s="86" t="e">
        <f>H10+#REF!</f>
        <v>#REF!</v>
      </c>
      <c r="G98" s="86">
        <f t="shared" si="13"/>
        <v>37974</v>
      </c>
      <c r="H98" s="86">
        <f t="shared" si="14"/>
        <v>113898</v>
      </c>
    </row>
    <row r="99" spans="4:8" x14ac:dyDescent="0.35">
      <c r="D99" s="87" t="s">
        <v>45</v>
      </c>
      <c r="E99" s="87"/>
      <c r="F99" s="88" t="e">
        <f>SUM(F93:F98)</f>
        <v>#REF!</v>
      </c>
      <c r="G99" s="88">
        <f t="shared" ref="G99" si="15">SUM(G93:G98)</f>
        <v>318499</v>
      </c>
      <c r="H99" s="88">
        <f>SUM(H93:H98)</f>
        <v>531853</v>
      </c>
    </row>
    <row r="100" spans="4:8" x14ac:dyDescent="0.35">
      <c r="D100" s="78" t="s">
        <v>42</v>
      </c>
      <c r="E100" s="78" t="s">
        <v>43</v>
      </c>
      <c r="F100" s="89" t="s">
        <v>79</v>
      </c>
      <c r="G100" s="89" t="s">
        <v>80</v>
      </c>
      <c r="H100" s="89" t="s">
        <v>81</v>
      </c>
    </row>
    <row r="101" spans="4:8" x14ac:dyDescent="0.35">
      <c r="D101" s="61" t="s">
        <v>46</v>
      </c>
      <c r="E101" s="61" t="s">
        <v>48</v>
      </c>
      <c r="F101" s="86">
        <f>H12</f>
        <v>71256</v>
      </c>
      <c r="G101" s="86">
        <f>O12</f>
        <v>66458</v>
      </c>
      <c r="H101" s="86">
        <f>I12</f>
        <v>43127</v>
      </c>
    </row>
    <row r="102" spans="4:8" x14ac:dyDescent="0.35">
      <c r="D102" s="61" t="s">
        <v>46</v>
      </c>
      <c r="E102" s="61" t="s">
        <v>47</v>
      </c>
      <c r="F102" s="86">
        <f>H13</f>
        <v>52154</v>
      </c>
      <c r="G102" s="86">
        <f>O13</f>
        <v>359610</v>
      </c>
      <c r="H102" s="86">
        <f>I13</f>
        <v>7187</v>
      </c>
    </row>
    <row r="103" spans="4:8" x14ac:dyDescent="0.35">
      <c r="D103" s="61" t="s">
        <v>27</v>
      </c>
      <c r="E103" s="61" t="s">
        <v>47</v>
      </c>
      <c r="F103" s="86">
        <v>0</v>
      </c>
      <c r="G103" s="86">
        <v>0</v>
      </c>
      <c r="H103" s="86">
        <v>0</v>
      </c>
    </row>
    <row r="104" spans="4:8" x14ac:dyDescent="0.35">
      <c r="D104" s="87" t="s">
        <v>45</v>
      </c>
      <c r="E104" s="87"/>
      <c r="F104" s="88">
        <f>SUM(F101:F103)</f>
        <v>123410</v>
      </c>
      <c r="G104" s="88">
        <f>SUM(G101:G103)</f>
        <v>426068</v>
      </c>
      <c r="H104" s="88">
        <f>SUM(H101:H103)</f>
        <v>50314</v>
      </c>
    </row>
    <row r="105" spans="4:8" x14ac:dyDescent="0.35">
      <c r="D105" s="78" t="s">
        <v>42</v>
      </c>
      <c r="E105" s="78" t="s">
        <v>43</v>
      </c>
      <c r="F105" s="89" t="s">
        <v>79</v>
      </c>
      <c r="G105" s="89" t="s">
        <v>80</v>
      </c>
      <c r="H105" s="89" t="s">
        <v>81</v>
      </c>
    </row>
    <row r="106" spans="4:8" x14ac:dyDescent="0.35">
      <c r="D106" s="61" t="s">
        <v>49</v>
      </c>
      <c r="E106" s="61" t="s">
        <v>51</v>
      </c>
      <c r="F106" s="86" t="e">
        <f>#REF!</f>
        <v>#REF!</v>
      </c>
      <c r="G106" s="86" t="e">
        <f>#REF!</f>
        <v>#REF!</v>
      </c>
      <c r="H106" s="86" t="e">
        <f>#REF!</f>
        <v>#REF!</v>
      </c>
    </row>
    <row r="107" spans="4:8" x14ac:dyDescent="0.35">
      <c r="D107" s="61" t="s">
        <v>49</v>
      </c>
      <c r="E107" s="61" t="s">
        <v>18</v>
      </c>
      <c r="F107" s="86">
        <f>H28</f>
        <v>0</v>
      </c>
      <c r="G107" s="86">
        <f>O28</f>
        <v>0</v>
      </c>
      <c r="H107" s="86">
        <v>0</v>
      </c>
    </row>
    <row r="108" spans="4:8" x14ac:dyDescent="0.35">
      <c r="D108" s="61" t="s">
        <v>49</v>
      </c>
      <c r="E108" s="61" t="s">
        <v>50</v>
      </c>
      <c r="F108" s="86" t="e">
        <f>#REF!+#REF!</f>
        <v>#REF!</v>
      </c>
      <c r="G108" s="86" t="e">
        <f>#REF!</f>
        <v>#REF!</v>
      </c>
      <c r="H108" s="86" t="e">
        <f>#REF!+#REF!</f>
        <v>#REF!</v>
      </c>
    </row>
    <row r="109" spans="4:8" x14ac:dyDescent="0.35">
      <c r="D109" s="87" t="s">
        <v>45</v>
      </c>
      <c r="E109" s="87"/>
      <c r="F109" s="88" t="e">
        <f>SUM(F106:F108)</f>
        <v>#REF!</v>
      </c>
      <c r="G109" s="88" t="e">
        <f>SUM(G106:G108)</f>
        <v>#REF!</v>
      </c>
      <c r="H109" s="88" t="e">
        <f>SUM(H106:H108)</f>
        <v>#REF!</v>
      </c>
    </row>
    <row r="110" spans="4:8" x14ac:dyDescent="0.35">
      <c r="D110" s="78" t="s">
        <v>42</v>
      </c>
      <c r="E110" s="78" t="s">
        <v>43</v>
      </c>
      <c r="F110" s="89" t="s">
        <v>79</v>
      </c>
      <c r="G110" s="89" t="s">
        <v>80</v>
      </c>
      <c r="H110" s="89" t="s">
        <v>81</v>
      </c>
    </row>
    <row r="111" spans="4:8" x14ac:dyDescent="0.35">
      <c r="D111" s="61" t="s">
        <v>52</v>
      </c>
      <c r="E111" s="61" t="s">
        <v>53</v>
      </c>
      <c r="F111" s="86">
        <f>H21</f>
        <v>0</v>
      </c>
      <c r="G111" s="86">
        <f>O21</f>
        <v>0</v>
      </c>
      <c r="H111" s="86">
        <f>I21</f>
        <v>0</v>
      </c>
    </row>
    <row r="112" spans="4:8" x14ac:dyDescent="0.35">
      <c r="D112" s="87" t="s">
        <v>45</v>
      </c>
      <c r="E112" s="87"/>
      <c r="F112" s="88">
        <f>SUM(F111)</f>
        <v>0</v>
      </c>
      <c r="G112" s="88">
        <f t="shared" ref="G112" si="16">SUM(G111)</f>
        <v>0</v>
      </c>
      <c r="H112" s="88">
        <f>SUM(H111)</f>
        <v>0</v>
      </c>
    </row>
    <row r="113" spans="4:8" x14ac:dyDescent="0.35">
      <c r="D113" s="78" t="s">
        <v>42</v>
      </c>
      <c r="E113" s="78" t="s">
        <v>43</v>
      </c>
      <c r="F113" s="89" t="s">
        <v>79</v>
      </c>
      <c r="G113" s="89" t="s">
        <v>80</v>
      </c>
      <c r="H113" s="89" t="s">
        <v>81</v>
      </c>
    </row>
    <row r="114" spans="4:8" x14ac:dyDescent="0.35">
      <c r="D114" s="61" t="s">
        <v>54</v>
      </c>
      <c r="E114" s="61" t="s">
        <v>53</v>
      </c>
      <c r="F114" s="86">
        <f>H24</f>
        <v>0</v>
      </c>
      <c r="G114" s="86">
        <f>O24</f>
        <v>0</v>
      </c>
      <c r="H114" s="86">
        <f>I24</f>
        <v>0</v>
      </c>
    </row>
    <row r="115" spans="4:8" x14ac:dyDescent="0.35">
      <c r="D115" s="61" t="s">
        <v>54</v>
      </c>
      <c r="E115" s="61" t="s">
        <v>18</v>
      </c>
      <c r="F115" s="86">
        <f>H25</f>
        <v>0</v>
      </c>
      <c r="G115" s="86">
        <f>O25</f>
        <v>0</v>
      </c>
      <c r="H115" s="86">
        <f>I25</f>
        <v>0</v>
      </c>
    </row>
    <row r="116" spans="4:8" x14ac:dyDescent="0.35">
      <c r="D116" s="87" t="s">
        <v>45</v>
      </c>
      <c r="E116" s="87"/>
      <c r="F116" s="88">
        <f>SUM(F114:F115)</f>
        <v>0</v>
      </c>
      <c r="G116" s="88">
        <f t="shared" ref="G116" si="17">SUM(G114:G115)</f>
        <v>0</v>
      </c>
      <c r="H116" s="88">
        <f>SUM(H114:H115)</f>
        <v>0</v>
      </c>
    </row>
    <row r="117" spans="4:8" x14ac:dyDescent="0.35">
      <c r="D117" s="90"/>
      <c r="E117" s="90"/>
      <c r="F117" s="91" t="e">
        <f>F116+F112+F109+F104+F99</f>
        <v>#REF!</v>
      </c>
      <c r="G117" s="91" t="e">
        <f t="shared" ref="G117" si="18">G116+G112+G109+G104+G99</f>
        <v>#REF!</v>
      </c>
      <c r="H117" s="91" t="e">
        <f>H116+H112+H109+H104+H99</f>
        <v>#REF!</v>
      </c>
    </row>
  </sheetData>
  <mergeCells count="43">
    <mergeCell ref="M43:O43"/>
    <mergeCell ref="C2:O2"/>
    <mergeCell ref="C3:O3"/>
    <mergeCell ref="H33:I33"/>
    <mergeCell ref="K34:L34"/>
    <mergeCell ref="M34:O34"/>
    <mergeCell ref="C35:D35"/>
    <mergeCell ref="K35:L35"/>
    <mergeCell ref="K36:L36"/>
    <mergeCell ref="K37:L37"/>
    <mergeCell ref="K38:L38"/>
    <mergeCell ref="K39:L39"/>
    <mergeCell ref="K43:L43"/>
    <mergeCell ref="K44:L44"/>
    <mergeCell ref="M44:O44"/>
    <mergeCell ref="K45:L45"/>
    <mergeCell ref="M45:O45"/>
    <mergeCell ref="K46:L46"/>
    <mergeCell ref="M46:O46"/>
    <mergeCell ref="D58:E58"/>
    <mergeCell ref="K47:L47"/>
    <mergeCell ref="M47:O47"/>
    <mergeCell ref="H48:J48"/>
    <mergeCell ref="K48:K49"/>
    <mergeCell ref="C51:E51"/>
    <mergeCell ref="C52:E52"/>
    <mergeCell ref="D53:E53"/>
    <mergeCell ref="D54:E54"/>
    <mergeCell ref="D55:E55"/>
    <mergeCell ref="D56:E56"/>
    <mergeCell ref="D57:E57"/>
    <mergeCell ref="D70:E70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22"/>
  <sheetViews>
    <sheetView topLeftCell="Q1" zoomScale="60" zoomScaleNormal="60" workbookViewId="0">
      <selection activeCell="G11" sqref="G11"/>
    </sheetView>
  </sheetViews>
  <sheetFormatPr defaultRowHeight="21" x14ac:dyDescent="0.35"/>
  <cols>
    <col min="1" max="1" width="5.5703125" style="42" customWidth="1"/>
    <col min="2" max="2" width="0.140625" style="42" hidden="1" customWidth="1"/>
    <col min="3" max="3" width="20.85546875" style="42" customWidth="1"/>
    <col min="4" max="4" width="26.42578125" style="42" customWidth="1"/>
    <col min="5" max="5" width="18.140625" style="42" customWidth="1"/>
    <col min="6" max="6" width="20.85546875" style="42" customWidth="1"/>
    <col min="7" max="7" width="21" style="42" customWidth="1"/>
    <col min="8" max="8" width="22.85546875" style="42" customWidth="1"/>
    <col min="9" max="9" width="23.5703125" style="42" customWidth="1"/>
    <col min="10" max="10" width="21.42578125" style="42" customWidth="1"/>
    <col min="11" max="11" width="21.28515625" style="42" customWidth="1"/>
    <col min="12" max="12" width="22.5703125" style="42" customWidth="1"/>
    <col min="13" max="13" width="26.42578125" style="42" customWidth="1"/>
    <col min="14" max="14" width="17.5703125" style="42" customWidth="1"/>
    <col min="15" max="15" width="22" style="42" customWidth="1"/>
    <col min="16" max="16" width="7.5703125" style="42" customWidth="1"/>
    <col min="17" max="17" width="14.28515625" style="42" bestFit="1" customWidth="1"/>
    <col min="18" max="18" width="11.42578125" style="42" customWidth="1"/>
    <col min="19" max="16384" width="9.140625" style="42"/>
  </cols>
  <sheetData>
    <row r="2" spans="1:16" x14ac:dyDescent="0.35">
      <c r="C2" s="194">
        <v>46091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6"/>
    </row>
    <row r="3" spans="1:16" x14ac:dyDescent="0.35">
      <c r="C3" s="197" t="s">
        <v>0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6" ht="63" x14ac:dyDescent="0.35">
      <c r="A4" s="101"/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  <c r="J4" s="40" t="s">
        <v>8</v>
      </c>
      <c r="K4" s="43" t="s">
        <v>9</v>
      </c>
      <c r="L4" s="43" t="s">
        <v>10</v>
      </c>
      <c r="M4" s="44" t="s">
        <v>11</v>
      </c>
      <c r="N4" s="45" t="s">
        <v>12</v>
      </c>
      <c r="O4" s="40" t="s">
        <v>13</v>
      </c>
    </row>
    <row r="5" spans="1:16" x14ac:dyDescent="0.35">
      <c r="A5" s="46"/>
      <c r="C5" s="37" t="s">
        <v>14</v>
      </c>
      <c r="D5" s="38" t="s">
        <v>15</v>
      </c>
      <c r="E5" s="39" t="s">
        <v>97</v>
      </c>
      <c r="F5" s="27">
        <v>45330</v>
      </c>
      <c r="G5" s="27">
        <v>0</v>
      </c>
      <c r="H5" s="28">
        <f>F5-G5</f>
        <v>45330</v>
      </c>
      <c r="I5" s="28">
        <f>H5-J5</f>
        <v>12452</v>
      </c>
      <c r="J5" s="25">
        <v>32878</v>
      </c>
      <c r="K5" s="29">
        <v>0</v>
      </c>
      <c r="L5" s="25">
        <v>29714</v>
      </c>
      <c r="M5" s="27">
        <f>'09-03-2026'!J50</f>
        <v>297685</v>
      </c>
      <c r="N5" s="29">
        <v>0</v>
      </c>
      <c r="O5" s="30">
        <v>26739</v>
      </c>
      <c r="P5" s="47"/>
    </row>
    <row r="6" spans="1:16" x14ac:dyDescent="0.35">
      <c r="A6" s="46"/>
      <c r="C6" s="37" t="s">
        <v>14</v>
      </c>
      <c r="D6" s="38" t="s">
        <v>15</v>
      </c>
      <c r="E6" s="39" t="s">
        <v>85</v>
      </c>
      <c r="F6" s="27">
        <v>49338</v>
      </c>
      <c r="G6" s="27">
        <v>1766</v>
      </c>
      <c r="H6" s="28">
        <f t="shared" ref="H6:H8" si="0">F6-G6</f>
        <v>47572</v>
      </c>
      <c r="I6" s="28">
        <f t="shared" ref="I6:I8" si="1">H6-J6</f>
        <v>26077</v>
      </c>
      <c r="J6" s="25">
        <v>21495</v>
      </c>
      <c r="K6" s="29">
        <v>0</v>
      </c>
      <c r="L6" s="25">
        <v>0</v>
      </c>
      <c r="M6" s="27">
        <v>0</v>
      </c>
      <c r="N6" s="29">
        <v>0</v>
      </c>
      <c r="O6" s="30">
        <v>0</v>
      </c>
      <c r="P6" s="46"/>
    </row>
    <row r="7" spans="1:16" x14ac:dyDescent="0.35">
      <c r="A7" s="46"/>
      <c r="C7" s="37" t="s">
        <v>14</v>
      </c>
      <c r="D7" s="38" t="s">
        <v>17</v>
      </c>
      <c r="E7" s="39" t="s">
        <v>85</v>
      </c>
      <c r="F7" s="27">
        <v>0</v>
      </c>
      <c r="G7" s="27">
        <v>0</v>
      </c>
      <c r="H7" s="28">
        <f t="shared" si="0"/>
        <v>0</v>
      </c>
      <c r="I7" s="28">
        <f t="shared" si="1"/>
        <v>0</v>
      </c>
      <c r="J7" s="25">
        <v>0</v>
      </c>
      <c r="K7" s="29">
        <v>0</v>
      </c>
      <c r="L7" s="25">
        <v>0</v>
      </c>
      <c r="M7" s="27">
        <f>'09-03-2026'!J51</f>
        <v>3550290</v>
      </c>
      <c r="N7" s="29">
        <v>0</v>
      </c>
      <c r="O7" s="30">
        <v>50000</v>
      </c>
    </row>
    <row r="8" spans="1:16" x14ac:dyDescent="0.35">
      <c r="A8" s="46"/>
      <c r="C8" s="37" t="s">
        <v>14</v>
      </c>
      <c r="D8" s="38" t="s">
        <v>18</v>
      </c>
      <c r="E8" s="39" t="s">
        <v>97</v>
      </c>
      <c r="F8" s="27">
        <v>244376</v>
      </c>
      <c r="G8" s="27">
        <v>3186</v>
      </c>
      <c r="H8" s="28">
        <f t="shared" si="0"/>
        <v>241190</v>
      </c>
      <c r="I8" s="28">
        <f t="shared" si="1"/>
        <v>165023</v>
      </c>
      <c r="J8" s="25">
        <v>76167</v>
      </c>
      <c r="K8" s="29">
        <v>0</v>
      </c>
      <c r="L8" s="25">
        <v>0</v>
      </c>
      <c r="M8" s="27">
        <f>'09-03-2026'!J52</f>
        <v>1468781</v>
      </c>
      <c r="N8" s="29">
        <v>0</v>
      </c>
      <c r="O8" s="30">
        <v>50852</v>
      </c>
    </row>
    <row r="9" spans="1:16" x14ac:dyDescent="0.35">
      <c r="A9" s="46"/>
      <c r="C9" s="37" t="s">
        <v>14</v>
      </c>
      <c r="D9" s="38" t="s">
        <v>19</v>
      </c>
      <c r="E9" s="39" t="s">
        <v>86</v>
      </c>
      <c r="F9" s="27">
        <v>108168</v>
      </c>
      <c r="G9" s="27">
        <v>0</v>
      </c>
      <c r="H9" s="28">
        <f t="shared" ref="H9:H11" si="2">F9-G9</f>
        <v>108168</v>
      </c>
      <c r="I9" s="28">
        <f t="shared" ref="I9:I11" si="3">H9-J9</f>
        <v>106607</v>
      </c>
      <c r="J9" s="25">
        <v>1561</v>
      </c>
      <c r="K9" s="29">
        <v>0</v>
      </c>
      <c r="L9" s="25">
        <v>0</v>
      </c>
      <c r="M9" s="27">
        <f>'09-03-2026'!J53</f>
        <v>1033158</v>
      </c>
      <c r="N9" s="29">
        <v>0</v>
      </c>
      <c r="O9" s="30">
        <v>94246</v>
      </c>
    </row>
    <row r="10" spans="1:16" x14ac:dyDescent="0.35">
      <c r="A10" s="46"/>
      <c r="C10" s="37" t="s">
        <v>14</v>
      </c>
      <c r="D10" s="38" t="s">
        <v>20</v>
      </c>
      <c r="E10" s="39" t="s">
        <v>95</v>
      </c>
      <c r="F10" s="27">
        <v>240217</v>
      </c>
      <c r="G10" s="27">
        <v>2147</v>
      </c>
      <c r="H10" s="28">
        <f t="shared" si="2"/>
        <v>238070</v>
      </c>
      <c r="I10" s="28">
        <f t="shared" si="3"/>
        <v>67871</v>
      </c>
      <c r="J10" s="25">
        <v>170199</v>
      </c>
      <c r="K10" s="29">
        <v>0</v>
      </c>
      <c r="L10" s="25">
        <v>0</v>
      </c>
      <c r="M10" s="27">
        <f>'09-03-2026'!J54</f>
        <v>1294633</v>
      </c>
      <c r="N10" s="29">
        <v>0</v>
      </c>
      <c r="O10" s="30">
        <v>68120</v>
      </c>
    </row>
    <row r="11" spans="1:16" x14ac:dyDescent="0.35">
      <c r="A11" s="46"/>
      <c r="C11" s="37" t="s">
        <v>14</v>
      </c>
      <c r="D11" s="38" t="s">
        <v>21</v>
      </c>
      <c r="E11" s="39" t="s">
        <v>98</v>
      </c>
      <c r="F11" s="27">
        <v>182197</v>
      </c>
      <c r="G11" s="27">
        <v>1735</v>
      </c>
      <c r="H11" s="28">
        <f t="shared" si="2"/>
        <v>180462</v>
      </c>
      <c r="I11" s="28">
        <f t="shared" si="3"/>
        <v>137028</v>
      </c>
      <c r="J11" s="25">
        <v>43434</v>
      </c>
      <c r="K11" s="29">
        <v>0</v>
      </c>
      <c r="L11" s="25">
        <v>0</v>
      </c>
      <c r="M11" s="27">
        <f>'09-03-2026'!J55</f>
        <v>585584</v>
      </c>
      <c r="N11" s="29">
        <v>0</v>
      </c>
      <c r="O11" s="30">
        <v>40113</v>
      </c>
    </row>
    <row r="12" spans="1:16" x14ac:dyDescent="0.35">
      <c r="A12" s="48"/>
      <c r="C12" s="40" t="s">
        <v>22</v>
      </c>
      <c r="D12" s="40"/>
      <c r="E12" s="40"/>
      <c r="F12" s="31">
        <f t="shared" ref="F12:O12" si="4">SUM(F5:F11)</f>
        <v>869626</v>
      </c>
      <c r="G12" s="31">
        <f t="shared" si="4"/>
        <v>8834</v>
      </c>
      <c r="H12" s="31">
        <f t="shared" si="4"/>
        <v>860792</v>
      </c>
      <c r="I12" s="31">
        <f t="shared" si="4"/>
        <v>515058</v>
      </c>
      <c r="J12" s="31">
        <f>SUM(J5:J11)</f>
        <v>345734</v>
      </c>
      <c r="K12" s="31">
        <f t="shared" si="4"/>
        <v>0</v>
      </c>
      <c r="L12" s="31">
        <f t="shared" si="4"/>
        <v>29714</v>
      </c>
      <c r="M12" s="31">
        <f t="shared" si="4"/>
        <v>8230131</v>
      </c>
      <c r="N12" s="31">
        <f t="shared" si="4"/>
        <v>0</v>
      </c>
      <c r="O12" s="31">
        <f t="shared" si="4"/>
        <v>330070</v>
      </c>
    </row>
    <row r="13" spans="1:16" x14ac:dyDescent="0.35">
      <c r="C13" s="37" t="s">
        <v>23</v>
      </c>
      <c r="D13" s="38" t="s">
        <v>24</v>
      </c>
      <c r="E13" s="39" t="s">
        <v>84</v>
      </c>
      <c r="F13" s="27">
        <v>130277</v>
      </c>
      <c r="G13" s="27">
        <v>9057</v>
      </c>
      <c r="H13" s="28">
        <f t="shared" ref="H13:H35" si="5">F13-G13</f>
        <v>121220</v>
      </c>
      <c r="I13" s="28">
        <f t="shared" ref="I13:I35" si="6">H13-J13</f>
        <v>76364</v>
      </c>
      <c r="J13" s="25">
        <v>44856</v>
      </c>
      <c r="K13" s="29">
        <v>0</v>
      </c>
      <c r="L13" s="25">
        <v>0</v>
      </c>
      <c r="M13" s="27">
        <f>'09-03-2026'!J59</f>
        <v>445718</v>
      </c>
      <c r="N13" s="29">
        <v>0</v>
      </c>
      <c r="O13" s="25">
        <v>0</v>
      </c>
    </row>
    <row r="14" spans="1:16" x14ac:dyDescent="0.35">
      <c r="C14" s="37" t="s">
        <v>23</v>
      </c>
      <c r="D14" s="38" t="s">
        <v>25</v>
      </c>
      <c r="E14" s="39" t="s">
        <v>85</v>
      </c>
      <c r="F14" s="27">
        <v>34771</v>
      </c>
      <c r="G14" s="27">
        <v>0</v>
      </c>
      <c r="H14" s="28">
        <f t="shared" si="5"/>
        <v>34771</v>
      </c>
      <c r="I14" s="28">
        <f t="shared" si="6"/>
        <v>7684</v>
      </c>
      <c r="J14" s="25">
        <v>27087</v>
      </c>
      <c r="K14" s="29">
        <v>0</v>
      </c>
      <c r="L14" s="25">
        <v>15363</v>
      </c>
      <c r="M14" s="27">
        <f>'09-03-2026'!J60</f>
        <v>1364476</v>
      </c>
      <c r="N14" s="29">
        <v>0</v>
      </c>
      <c r="O14" s="25">
        <v>70813</v>
      </c>
    </row>
    <row r="15" spans="1:16" x14ac:dyDescent="0.35">
      <c r="C15" s="37" t="s">
        <v>23</v>
      </c>
      <c r="D15" s="38" t="s">
        <v>25</v>
      </c>
      <c r="E15" s="39" t="s">
        <v>95</v>
      </c>
      <c r="F15" s="27">
        <v>233453</v>
      </c>
      <c r="G15" s="27">
        <v>1114</v>
      </c>
      <c r="H15" s="28">
        <f t="shared" si="5"/>
        <v>232339</v>
      </c>
      <c r="I15" s="28">
        <f t="shared" si="6"/>
        <v>38696</v>
      </c>
      <c r="J15" s="25">
        <v>193643</v>
      </c>
      <c r="K15" s="29">
        <v>92</v>
      </c>
      <c r="L15" s="25">
        <v>0</v>
      </c>
      <c r="M15" s="27">
        <v>0</v>
      </c>
      <c r="N15" s="29">
        <v>0</v>
      </c>
      <c r="O15" s="25">
        <v>0</v>
      </c>
    </row>
    <row r="16" spans="1:16" x14ac:dyDescent="0.35">
      <c r="C16" s="37" t="s">
        <v>23</v>
      </c>
      <c r="D16" s="38" t="s">
        <v>25</v>
      </c>
      <c r="E16" s="39" t="s">
        <v>98</v>
      </c>
      <c r="F16" s="27">
        <v>59309</v>
      </c>
      <c r="G16" s="27"/>
      <c r="H16" s="28">
        <f t="shared" si="5"/>
        <v>59309</v>
      </c>
      <c r="I16" s="28">
        <f t="shared" si="6"/>
        <v>1876</v>
      </c>
      <c r="J16" s="25">
        <v>57433</v>
      </c>
      <c r="K16" s="29">
        <v>0</v>
      </c>
      <c r="L16" s="25">
        <v>0</v>
      </c>
      <c r="M16" s="27">
        <v>0</v>
      </c>
      <c r="N16" s="29">
        <v>0</v>
      </c>
      <c r="O16" s="25">
        <v>0</v>
      </c>
    </row>
    <row r="17" spans="3:15" x14ac:dyDescent="0.35">
      <c r="C17" s="37" t="s">
        <v>23</v>
      </c>
      <c r="D17" s="38" t="s">
        <v>25</v>
      </c>
      <c r="E17" s="39" t="s">
        <v>84</v>
      </c>
      <c r="F17" s="27">
        <v>243218</v>
      </c>
      <c r="G17" s="27">
        <v>0</v>
      </c>
      <c r="H17" s="28">
        <f t="shared" si="5"/>
        <v>243218</v>
      </c>
      <c r="I17" s="28">
        <f t="shared" si="6"/>
        <v>243218</v>
      </c>
      <c r="J17" s="25">
        <v>0</v>
      </c>
      <c r="K17" s="29"/>
      <c r="L17" s="25"/>
      <c r="M17" s="27"/>
      <c r="N17" s="29"/>
      <c r="O17" s="25"/>
    </row>
    <row r="18" spans="3:15" x14ac:dyDescent="0.35">
      <c r="C18" s="37" t="s">
        <v>23</v>
      </c>
      <c r="D18" s="38" t="s">
        <v>26</v>
      </c>
      <c r="E18" s="39" t="s">
        <v>85</v>
      </c>
      <c r="F18" s="27">
        <v>36571</v>
      </c>
      <c r="G18" s="27">
        <v>0</v>
      </c>
      <c r="H18" s="28">
        <f t="shared" si="5"/>
        <v>36571</v>
      </c>
      <c r="I18" s="28">
        <f t="shared" si="6"/>
        <v>25692</v>
      </c>
      <c r="J18" s="25">
        <v>10879</v>
      </c>
      <c r="K18" s="29">
        <v>0</v>
      </c>
      <c r="L18" s="25">
        <v>0</v>
      </c>
      <c r="M18" s="27">
        <f>'09-03-2026'!J61</f>
        <v>457177</v>
      </c>
      <c r="N18" s="29">
        <v>0</v>
      </c>
      <c r="O18" s="25">
        <v>0</v>
      </c>
    </row>
    <row r="19" spans="3:15" x14ac:dyDescent="0.35">
      <c r="C19" s="37" t="s">
        <v>23</v>
      </c>
      <c r="D19" s="38" t="s">
        <v>20</v>
      </c>
      <c r="E19" s="39" t="s">
        <v>95</v>
      </c>
      <c r="F19" s="27">
        <v>0</v>
      </c>
      <c r="G19" s="27">
        <v>0</v>
      </c>
      <c r="H19" s="28">
        <f t="shared" si="5"/>
        <v>0</v>
      </c>
      <c r="I19" s="28">
        <f t="shared" si="6"/>
        <v>0</v>
      </c>
      <c r="J19" s="25">
        <v>0</v>
      </c>
      <c r="K19" s="29">
        <v>0</v>
      </c>
      <c r="L19" s="25">
        <v>0</v>
      </c>
      <c r="M19" s="27">
        <v>0</v>
      </c>
      <c r="N19" s="29">
        <v>0</v>
      </c>
      <c r="O19" s="25">
        <v>0</v>
      </c>
    </row>
    <row r="20" spans="3:15" x14ac:dyDescent="0.35">
      <c r="C20" s="37" t="s">
        <v>23</v>
      </c>
      <c r="D20" s="38" t="s">
        <v>18</v>
      </c>
      <c r="E20" s="39" t="s">
        <v>97</v>
      </c>
      <c r="F20" s="27">
        <v>18944</v>
      </c>
      <c r="G20" s="27">
        <v>0</v>
      </c>
      <c r="H20" s="28">
        <f t="shared" si="5"/>
        <v>18944</v>
      </c>
      <c r="I20" s="28">
        <f t="shared" si="6"/>
        <v>0</v>
      </c>
      <c r="J20" s="25">
        <v>18944</v>
      </c>
      <c r="K20" s="29">
        <v>0</v>
      </c>
      <c r="L20" s="25">
        <v>0</v>
      </c>
      <c r="M20" s="27">
        <v>0</v>
      </c>
      <c r="N20" s="29">
        <v>0</v>
      </c>
      <c r="O20" s="25">
        <v>0</v>
      </c>
    </row>
    <row r="21" spans="3:15" x14ac:dyDescent="0.35">
      <c r="C21" s="37" t="s">
        <v>23</v>
      </c>
      <c r="D21" s="40"/>
      <c r="E21" s="40"/>
      <c r="F21" s="31">
        <f>SUM(F13:F20)</f>
        <v>756543</v>
      </c>
      <c r="G21" s="31">
        <f>SUM(G13:G20)</f>
        <v>10171</v>
      </c>
      <c r="H21" s="31">
        <f>SUM(H13:H19)</f>
        <v>727428</v>
      </c>
      <c r="I21" s="31">
        <f>SUM(I13:I19)</f>
        <v>393530</v>
      </c>
      <c r="J21" s="31">
        <f>SUM(J13:J20)</f>
        <v>352842</v>
      </c>
      <c r="K21" s="31">
        <f>SUM(K13:K19)</f>
        <v>92</v>
      </c>
      <c r="L21" s="31">
        <f>SUM(L13:L19)</f>
        <v>15363</v>
      </c>
      <c r="M21" s="31">
        <f>SUM(M13:M20)</f>
        <v>2267371</v>
      </c>
      <c r="N21" s="31">
        <f>SUM(N13:N19)</f>
        <v>0</v>
      </c>
      <c r="O21" s="31">
        <f>SUM(O13:O20)</f>
        <v>70813</v>
      </c>
    </row>
    <row r="22" spans="3:15" x14ac:dyDescent="0.35">
      <c r="C22" s="37" t="s">
        <v>27</v>
      </c>
      <c r="D22" s="38" t="s">
        <v>25</v>
      </c>
      <c r="E22" s="39" t="s">
        <v>16</v>
      </c>
      <c r="F22" s="27">
        <v>0</v>
      </c>
      <c r="G22" s="27">
        <v>0</v>
      </c>
      <c r="H22" s="28">
        <f t="shared" si="5"/>
        <v>0</v>
      </c>
      <c r="I22" s="28">
        <f t="shared" si="6"/>
        <v>0</v>
      </c>
      <c r="J22" s="25">
        <v>0</v>
      </c>
      <c r="K22" s="29">
        <v>0</v>
      </c>
      <c r="L22" s="25">
        <v>0</v>
      </c>
      <c r="M22" s="27">
        <f>'09-03-2026'!J63</f>
        <v>51257</v>
      </c>
      <c r="N22" s="29">
        <v>0</v>
      </c>
      <c r="O22" s="25">
        <v>0</v>
      </c>
    </row>
    <row r="23" spans="3:15" x14ac:dyDescent="0.35">
      <c r="C23" s="40"/>
      <c r="D23" s="40"/>
      <c r="E23" s="40"/>
      <c r="F23" s="31">
        <f>SUM(F22)</f>
        <v>0</v>
      </c>
      <c r="G23" s="31">
        <f t="shared" ref="G23:O23" si="7">SUM(G22)</f>
        <v>0</v>
      </c>
      <c r="H23" s="31">
        <f t="shared" si="7"/>
        <v>0</v>
      </c>
      <c r="I23" s="31">
        <f t="shared" si="7"/>
        <v>0</v>
      </c>
      <c r="J23" s="31">
        <f t="shared" si="7"/>
        <v>0</v>
      </c>
      <c r="K23" s="31">
        <f t="shared" si="7"/>
        <v>0</v>
      </c>
      <c r="L23" s="31">
        <f t="shared" si="7"/>
        <v>0</v>
      </c>
      <c r="M23" s="31">
        <f t="shared" si="7"/>
        <v>51257</v>
      </c>
      <c r="N23" s="31">
        <f t="shared" si="7"/>
        <v>0</v>
      </c>
      <c r="O23" s="31">
        <f t="shared" si="7"/>
        <v>0</v>
      </c>
    </row>
    <row r="24" spans="3:15" x14ac:dyDescent="0.35">
      <c r="C24" s="37" t="s">
        <v>28</v>
      </c>
      <c r="D24" s="38" t="s">
        <v>29</v>
      </c>
      <c r="E24" s="39" t="s">
        <v>16</v>
      </c>
      <c r="F24" s="27">
        <v>0</v>
      </c>
      <c r="G24" s="27">
        <v>0</v>
      </c>
      <c r="H24" s="28">
        <f t="shared" si="5"/>
        <v>0</v>
      </c>
      <c r="I24" s="28">
        <f t="shared" si="6"/>
        <v>0</v>
      </c>
      <c r="J24" s="25">
        <v>0</v>
      </c>
      <c r="K24" s="29">
        <v>0</v>
      </c>
      <c r="L24" s="25">
        <v>0</v>
      </c>
      <c r="M24" s="27">
        <f>'09-03-2026'!J74</f>
        <v>33969</v>
      </c>
      <c r="N24" s="29">
        <v>0</v>
      </c>
      <c r="O24" s="25">
        <v>0</v>
      </c>
    </row>
    <row r="25" spans="3:15" x14ac:dyDescent="0.35">
      <c r="C25" s="37" t="s">
        <v>28</v>
      </c>
      <c r="D25" s="38" t="s">
        <v>25</v>
      </c>
      <c r="E25" s="39" t="s">
        <v>84</v>
      </c>
      <c r="F25" s="27">
        <v>20520</v>
      </c>
      <c r="G25" s="27">
        <v>0</v>
      </c>
      <c r="H25" s="28">
        <f t="shared" si="5"/>
        <v>20520</v>
      </c>
      <c r="I25" s="28">
        <f t="shared" si="6"/>
        <v>20520</v>
      </c>
      <c r="J25" s="25">
        <v>0</v>
      </c>
      <c r="K25" s="29">
        <v>0</v>
      </c>
      <c r="L25" s="25">
        <v>0</v>
      </c>
      <c r="M25" s="27">
        <f>'09-03-2026'!J75</f>
        <v>18969</v>
      </c>
      <c r="N25" s="29">
        <v>0</v>
      </c>
      <c r="O25" s="25">
        <v>0</v>
      </c>
    </row>
    <row r="26" spans="3:15" x14ac:dyDescent="0.35">
      <c r="C26" s="40" t="s">
        <v>22</v>
      </c>
      <c r="D26" s="40"/>
      <c r="E26" s="40"/>
      <c r="F26" s="31">
        <f t="shared" ref="F26:L26" si="8">SUM(F24:F25)</f>
        <v>20520</v>
      </c>
      <c r="G26" s="31">
        <f t="shared" si="8"/>
        <v>0</v>
      </c>
      <c r="H26" s="31">
        <f t="shared" si="8"/>
        <v>20520</v>
      </c>
      <c r="I26" s="31">
        <f t="shared" si="8"/>
        <v>20520</v>
      </c>
      <c r="J26" s="31">
        <f t="shared" si="8"/>
        <v>0</v>
      </c>
      <c r="K26" s="31">
        <f>SUM(K24:K25)</f>
        <v>0</v>
      </c>
      <c r="L26" s="31">
        <f t="shared" si="8"/>
        <v>0</v>
      </c>
      <c r="M26" s="31">
        <f>SUM(F26:L26)</f>
        <v>61560</v>
      </c>
      <c r="N26" s="31">
        <f t="shared" ref="N26:O26" si="9">SUM(N24:N25)</f>
        <v>0</v>
      </c>
      <c r="O26" s="31">
        <f t="shared" si="9"/>
        <v>0</v>
      </c>
    </row>
    <row r="27" spans="3:15" x14ac:dyDescent="0.35">
      <c r="C27" s="37" t="s">
        <v>30</v>
      </c>
      <c r="D27" s="38" t="s">
        <v>29</v>
      </c>
      <c r="E27" s="39" t="s">
        <v>16</v>
      </c>
      <c r="F27" s="32">
        <v>0</v>
      </c>
      <c r="G27" s="32">
        <v>0</v>
      </c>
      <c r="H27" s="28">
        <f t="shared" si="5"/>
        <v>0</v>
      </c>
      <c r="I27" s="28">
        <f t="shared" si="6"/>
        <v>0</v>
      </c>
      <c r="J27" s="33">
        <v>0</v>
      </c>
      <c r="K27" s="34">
        <v>0</v>
      </c>
      <c r="L27" s="33">
        <v>0</v>
      </c>
      <c r="M27" s="32">
        <f>'09-03-2026'!J78</f>
        <v>89658</v>
      </c>
      <c r="N27" s="34">
        <v>0</v>
      </c>
      <c r="O27" s="33">
        <v>0</v>
      </c>
    </row>
    <row r="28" spans="3:15" x14ac:dyDescent="0.35">
      <c r="C28" s="37" t="s">
        <v>30</v>
      </c>
      <c r="D28" s="38" t="s">
        <v>31</v>
      </c>
      <c r="E28" s="39" t="s">
        <v>16</v>
      </c>
      <c r="F28" s="32">
        <v>0</v>
      </c>
      <c r="G28" s="32">
        <v>0</v>
      </c>
      <c r="H28" s="28">
        <f t="shared" si="5"/>
        <v>0</v>
      </c>
      <c r="I28" s="28">
        <f t="shared" si="6"/>
        <v>0</v>
      </c>
      <c r="J28" s="33">
        <v>0</v>
      </c>
      <c r="K28" s="34">
        <v>0</v>
      </c>
      <c r="L28" s="33">
        <v>0</v>
      </c>
      <c r="M28" s="32">
        <f>'09-03-2026'!J79</f>
        <v>17000</v>
      </c>
      <c r="N28" s="34">
        <v>0</v>
      </c>
      <c r="O28" s="33">
        <v>0</v>
      </c>
    </row>
    <row r="29" spans="3:15" x14ac:dyDescent="0.35">
      <c r="C29" s="40" t="s">
        <v>22</v>
      </c>
      <c r="D29" s="40"/>
      <c r="E29" s="40"/>
      <c r="F29" s="31">
        <f>SUM(F27:F28)</f>
        <v>0</v>
      </c>
      <c r="G29" s="31">
        <f t="shared" ref="G29:O29" si="10">SUM(G27:G28)</f>
        <v>0</v>
      </c>
      <c r="H29" s="31">
        <f t="shared" si="10"/>
        <v>0</v>
      </c>
      <c r="I29" s="31">
        <f t="shared" si="10"/>
        <v>0</v>
      </c>
      <c r="J29" s="31">
        <f t="shared" si="10"/>
        <v>0</v>
      </c>
      <c r="K29" s="31">
        <f t="shared" si="10"/>
        <v>0</v>
      </c>
      <c r="L29" s="31">
        <f t="shared" si="10"/>
        <v>0</v>
      </c>
      <c r="M29" s="31">
        <f t="shared" si="10"/>
        <v>106658</v>
      </c>
      <c r="N29" s="31">
        <f t="shared" si="10"/>
        <v>0</v>
      </c>
      <c r="O29" s="31">
        <f t="shared" si="10"/>
        <v>0</v>
      </c>
    </row>
    <row r="30" spans="3:15" x14ac:dyDescent="0.35">
      <c r="C30" s="37" t="s">
        <v>32</v>
      </c>
      <c r="D30" s="38" t="s">
        <v>33</v>
      </c>
      <c r="E30" s="39" t="s">
        <v>85</v>
      </c>
      <c r="F30" s="35">
        <v>13877</v>
      </c>
      <c r="G30" s="27">
        <v>0</v>
      </c>
      <c r="H30" s="28">
        <f t="shared" si="5"/>
        <v>13877</v>
      </c>
      <c r="I30" s="28">
        <f t="shared" si="6"/>
        <v>13877</v>
      </c>
      <c r="J30" s="25">
        <v>0</v>
      </c>
      <c r="K30" s="29">
        <v>0</v>
      </c>
      <c r="L30" s="25">
        <v>0</v>
      </c>
      <c r="M30" s="27">
        <f>'09-03-2026'!J66</f>
        <v>1397630</v>
      </c>
      <c r="N30" s="29">
        <v>0</v>
      </c>
      <c r="O30" s="25">
        <v>0</v>
      </c>
    </row>
    <row r="31" spans="3:15" x14ac:dyDescent="0.35">
      <c r="C31" s="37" t="s">
        <v>32</v>
      </c>
      <c r="D31" s="38" t="s">
        <v>33</v>
      </c>
      <c r="E31" s="39" t="s">
        <v>97</v>
      </c>
      <c r="F31" s="35">
        <v>71458</v>
      </c>
      <c r="G31" s="27"/>
      <c r="H31" s="28">
        <f t="shared" si="5"/>
        <v>71458</v>
      </c>
      <c r="I31" s="28">
        <f t="shared" si="6"/>
        <v>59899</v>
      </c>
      <c r="J31" s="25">
        <v>11559</v>
      </c>
      <c r="K31" s="29">
        <v>0</v>
      </c>
      <c r="L31" s="25">
        <v>0</v>
      </c>
      <c r="M31" s="27">
        <v>0</v>
      </c>
      <c r="N31" s="29"/>
      <c r="O31" s="25">
        <v>0</v>
      </c>
    </row>
    <row r="32" spans="3:15" x14ac:dyDescent="0.35">
      <c r="C32" s="37" t="s">
        <v>32</v>
      </c>
      <c r="D32" s="38" t="s">
        <v>33</v>
      </c>
      <c r="E32" s="39" t="s">
        <v>98</v>
      </c>
      <c r="F32" s="35">
        <v>8914</v>
      </c>
      <c r="G32" s="27">
        <v>0</v>
      </c>
      <c r="H32" s="28">
        <f t="shared" si="5"/>
        <v>8914</v>
      </c>
      <c r="I32" s="28">
        <f t="shared" si="6"/>
        <v>0</v>
      </c>
      <c r="J32" s="25">
        <v>8914</v>
      </c>
      <c r="K32" s="29">
        <v>0</v>
      </c>
      <c r="L32" s="25">
        <v>0</v>
      </c>
      <c r="M32" s="27">
        <v>0</v>
      </c>
      <c r="N32" s="29"/>
      <c r="O32" s="25">
        <v>0</v>
      </c>
    </row>
    <row r="33" spans="3:15" x14ac:dyDescent="0.35">
      <c r="C33" s="37" t="s">
        <v>32</v>
      </c>
      <c r="D33" s="38" t="s">
        <v>31</v>
      </c>
      <c r="E33" s="39"/>
      <c r="F33" s="35">
        <v>0</v>
      </c>
      <c r="G33" s="27">
        <v>0</v>
      </c>
      <c r="H33" s="28">
        <f t="shared" si="5"/>
        <v>0</v>
      </c>
      <c r="I33" s="28">
        <f t="shared" si="6"/>
        <v>0</v>
      </c>
      <c r="J33" s="25">
        <v>0</v>
      </c>
      <c r="K33" s="29">
        <v>0</v>
      </c>
      <c r="L33" s="25">
        <v>0</v>
      </c>
      <c r="M33" s="27">
        <f>'09-03-2026'!J67</f>
        <v>174473</v>
      </c>
      <c r="N33" s="29">
        <v>0</v>
      </c>
      <c r="O33" s="25">
        <v>0</v>
      </c>
    </row>
    <row r="34" spans="3:15" x14ac:dyDescent="0.35">
      <c r="C34" s="37" t="s">
        <v>32</v>
      </c>
      <c r="D34" s="38" t="s">
        <v>26</v>
      </c>
      <c r="E34" s="39"/>
      <c r="F34" s="35">
        <v>0</v>
      </c>
      <c r="G34" s="27">
        <v>0</v>
      </c>
      <c r="H34" s="28">
        <f t="shared" si="5"/>
        <v>0</v>
      </c>
      <c r="I34" s="28">
        <f t="shared" si="6"/>
        <v>0</v>
      </c>
      <c r="J34" s="25">
        <v>0</v>
      </c>
      <c r="K34" s="29">
        <v>0</v>
      </c>
      <c r="L34" s="25">
        <v>0</v>
      </c>
      <c r="M34" s="27">
        <f>'09-03-2026'!J68</f>
        <v>35126</v>
      </c>
      <c r="N34" s="29">
        <v>0</v>
      </c>
      <c r="O34" s="25">
        <v>0</v>
      </c>
    </row>
    <row r="35" spans="3:15" x14ac:dyDescent="0.35">
      <c r="C35" s="37" t="s">
        <v>32</v>
      </c>
      <c r="D35" s="38" t="s">
        <v>34</v>
      </c>
      <c r="E35" s="39" t="s">
        <v>86</v>
      </c>
      <c r="F35" s="35">
        <v>84702</v>
      </c>
      <c r="G35" s="27">
        <v>0</v>
      </c>
      <c r="H35" s="28">
        <f t="shared" si="5"/>
        <v>84702</v>
      </c>
      <c r="I35" s="28">
        <f t="shared" si="6"/>
        <v>84702</v>
      </c>
      <c r="J35" s="25">
        <v>0</v>
      </c>
      <c r="K35" s="29">
        <v>0</v>
      </c>
      <c r="L35" s="25">
        <v>0</v>
      </c>
      <c r="M35" s="27">
        <f>'09-03-2026'!J69</f>
        <v>1416217</v>
      </c>
      <c r="N35" s="29">
        <v>0</v>
      </c>
      <c r="O35" s="25">
        <v>73186</v>
      </c>
    </row>
    <row r="36" spans="3:15" x14ac:dyDescent="0.35">
      <c r="C36" s="40" t="s">
        <v>22</v>
      </c>
      <c r="D36" s="40"/>
      <c r="E36" s="40"/>
      <c r="F36" s="31">
        <f>SUM(F30:F35)</f>
        <v>178951</v>
      </c>
      <c r="G36" s="31">
        <f t="shared" ref="G36:O36" si="11">SUM(G30:G35)</f>
        <v>0</v>
      </c>
      <c r="H36" s="31">
        <f t="shared" si="11"/>
        <v>178951</v>
      </c>
      <c r="I36" s="31">
        <f t="shared" si="11"/>
        <v>158478</v>
      </c>
      <c r="J36" s="31">
        <f t="shared" si="11"/>
        <v>20473</v>
      </c>
      <c r="K36" s="31">
        <f t="shared" si="11"/>
        <v>0</v>
      </c>
      <c r="L36" s="31">
        <f t="shared" si="11"/>
        <v>0</v>
      </c>
      <c r="M36" s="31">
        <f t="shared" si="11"/>
        <v>3023446</v>
      </c>
      <c r="N36" s="31">
        <f t="shared" si="11"/>
        <v>0</v>
      </c>
      <c r="O36" s="31">
        <f t="shared" si="11"/>
        <v>73186</v>
      </c>
    </row>
    <row r="37" spans="3:15" x14ac:dyDescent="0.35">
      <c r="C37" s="41" t="s">
        <v>35</v>
      </c>
      <c r="D37" s="41"/>
      <c r="E37" s="41"/>
      <c r="F37" s="36">
        <f t="shared" ref="F37:O37" si="12">F36+F29+F26+F23+F21+F12</f>
        <v>1825640</v>
      </c>
      <c r="G37" s="36">
        <f t="shared" si="12"/>
        <v>19005</v>
      </c>
      <c r="H37" s="36">
        <f t="shared" si="12"/>
        <v>1787691</v>
      </c>
      <c r="I37" s="36">
        <f t="shared" si="12"/>
        <v>1087586</v>
      </c>
      <c r="J37" s="36">
        <f t="shared" si="12"/>
        <v>719049</v>
      </c>
      <c r="K37" s="36">
        <f t="shared" si="12"/>
        <v>92</v>
      </c>
      <c r="L37" s="36">
        <f t="shared" si="12"/>
        <v>45077</v>
      </c>
      <c r="M37" s="36">
        <f t="shared" si="12"/>
        <v>13740423</v>
      </c>
      <c r="N37" s="36">
        <f t="shared" si="12"/>
        <v>0</v>
      </c>
      <c r="O37" s="36">
        <f t="shared" si="12"/>
        <v>474069</v>
      </c>
    </row>
    <row r="38" spans="3:15" x14ac:dyDescent="0.35">
      <c r="F38" s="49" t="s">
        <v>36</v>
      </c>
      <c r="G38" s="25">
        <f>O12+L12+J12-K12</f>
        <v>705518</v>
      </c>
      <c r="H38" s="200"/>
      <c r="I38" s="201"/>
      <c r="J38" s="50"/>
      <c r="K38" s="51"/>
      <c r="L38" s="51"/>
    </row>
    <row r="39" spans="3:15" x14ac:dyDescent="0.35">
      <c r="F39" s="52" t="s">
        <v>37</v>
      </c>
      <c r="G39" s="25">
        <f>O21+L21+J21-K21+O23+L23+J23-K23</f>
        <v>438926</v>
      </c>
      <c r="H39" s="53"/>
      <c r="I39" s="54" t="s">
        <v>89</v>
      </c>
      <c r="J39" s="54" t="s">
        <v>90</v>
      </c>
      <c r="K39" s="192" t="s">
        <v>88</v>
      </c>
      <c r="L39" s="193"/>
      <c r="M39" s="202" t="s">
        <v>87</v>
      </c>
      <c r="N39" s="203"/>
      <c r="O39" s="204"/>
    </row>
    <row r="40" spans="3:15" x14ac:dyDescent="0.35">
      <c r="C40" s="205" t="s">
        <v>68</v>
      </c>
      <c r="D40" s="206"/>
      <c r="F40" s="55" t="s">
        <v>38</v>
      </c>
      <c r="G40" s="25">
        <f>O26+L26+J26-K26</f>
        <v>0</v>
      </c>
      <c r="H40" s="53"/>
      <c r="I40" s="54"/>
      <c r="J40" s="57"/>
      <c r="K40" s="192"/>
      <c r="L40" s="193"/>
      <c r="M40" s="59"/>
      <c r="N40" s="58"/>
      <c r="O40" s="60"/>
    </row>
    <row r="41" spans="3:15" x14ac:dyDescent="0.35">
      <c r="C41" s="61"/>
      <c r="D41" s="61"/>
      <c r="F41" s="62" t="s">
        <v>30</v>
      </c>
      <c r="G41" s="25">
        <f>O29+L29+J29-K29</f>
        <v>0</v>
      </c>
      <c r="H41" s="53"/>
      <c r="I41" s="56"/>
      <c r="J41" s="57"/>
      <c r="K41" s="192"/>
      <c r="L41" s="193"/>
      <c r="M41" s="59"/>
      <c r="N41" s="58"/>
      <c r="O41" s="60"/>
    </row>
    <row r="42" spans="3:15" x14ac:dyDescent="0.35">
      <c r="C42" s="61"/>
      <c r="D42" s="61"/>
      <c r="F42" s="49" t="s">
        <v>39</v>
      </c>
      <c r="G42" s="25">
        <f>O36+L36+J36-K36</f>
        <v>93659</v>
      </c>
      <c r="H42" s="53"/>
      <c r="I42" s="56"/>
      <c r="J42" s="57"/>
      <c r="K42" s="192"/>
      <c r="L42" s="193"/>
      <c r="M42" s="59"/>
      <c r="N42" s="58"/>
      <c r="O42" s="60"/>
    </row>
    <row r="43" spans="3:15" x14ac:dyDescent="0.35">
      <c r="C43" s="61"/>
      <c r="D43" s="61"/>
      <c r="F43" s="63" t="s">
        <v>40</v>
      </c>
      <c r="G43" s="26">
        <f>SUM(G38:G42)</f>
        <v>1238103</v>
      </c>
      <c r="I43" s="61"/>
      <c r="J43" s="57"/>
      <c r="K43" s="192"/>
      <c r="L43" s="193"/>
      <c r="M43" s="59"/>
      <c r="N43" s="58"/>
      <c r="O43" s="60"/>
    </row>
    <row r="44" spans="3:15" x14ac:dyDescent="0.35">
      <c r="C44" s="61"/>
      <c r="D44" s="61"/>
      <c r="F44" s="64"/>
      <c r="G44" s="65"/>
      <c r="I44" s="61"/>
      <c r="J44" s="57"/>
      <c r="K44" s="192"/>
      <c r="L44" s="193"/>
      <c r="M44" s="59"/>
      <c r="N44" s="58"/>
      <c r="O44" s="60"/>
    </row>
    <row r="45" spans="3:15" x14ac:dyDescent="0.35">
      <c r="C45" s="61"/>
      <c r="D45" s="61"/>
      <c r="F45" s="64"/>
      <c r="G45" s="65"/>
      <c r="I45" s="61"/>
      <c r="J45" s="57"/>
      <c r="K45" s="58"/>
      <c r="L45" s="58"/>
      <c r="M45" s="59"/>
      <c r="N45" s="58"/>
      <c r="O45" s="60"/>
    </row>
    <row r="46" spans="3:15" x14ac:dyDescent="0.35">
      <c r="C46" s="61"/>
      <c r="D46" s="61"/>
      <c r="F46" s="64"/>
      <c r="G46" s="65"/>
      <c r="I46" s="61"/>
      <c r="J46" s="57"/>
      <c r="K46" s="58"/>
      <c r="L46" s="58"/>
      <c r="M46" s="59"/>
      <c r="N46" s="58"/>
      <c r="O46" s="60"/>
    </row>
    <row r="47" spans="3:15" x14ac:dyDescent="0.35">
      <c r="C47" s="61"/>
      <c r="D47" s="61"/>
      <c r="F47" s="64"/>
      <c r="G47" s="65"/>
      <c r="I47" s="61"/>
      <c r="J47" s="57"/>
      <c r="K47" s="58"/>
      <c r="L47" s="58"/>
      <c r="M47" s="59"/>
      <c r="N47" s="58"/>
      <c r="O47" s="60"/>
    </row>
    <row r="48" spans="3:15" x14ac:dyDescent="0.35">
      <c r="C48" s="61"/>
      <c r="D48" s="61"/>
      <c r="F48" s="64"/>
      <c r="G48" s="65"/>
      <c r="I48" s="61"/>
      <c r="J48" s="57"/>
      <c r="K48" s="191"/>
      <c r="L48" s="193"/>
      <c r="M48" s="191"/>
      <c r="N48" s="192"/>
      <c r="O48" s="193"/>
    </row>
    <row r="49" spans="3:15" x14ac:dyDescent="0.35">
      <c r="C49" s="61"/>
      <c r="D49" s="61"/>
      <c r="F49" s="64"/>
      <c r="G49" s="65"/>
      <c r="I49" s="61"/>
      <c r="J49" s="54"/>
      <c r="K49" s="191"/>
      <c r="L49" s="193"/>
      <c r="M49" s="191"/>
      <c r="N49" s="192"/>
      <c r="O49" s="193"/>
    </row>
    <row r="50" spans="3:15" x14ac:dyDescent="0.35">
      <c r="C50" s="61"/>
      <c r="D50" s="61"/>
      <c r="F50" s="64"/>
      <c r="G50" s="65"/>
      <c r="I50" s="61"/>
      <c r="J50" s="54"/>
      <c r="K50" s="191"/>
      <c r="L50" s="193"/>
      <c r="M50" s="191"/>
      <c r="N50" s="192"/>
      <c r="O50" s="193"/>
    </row>
    <row r="51" spans="3:15" x14ac:dyDescent="0.35">
      <c r="C51" s="61"/>
      <c r="D51" s="61"/>
      <c r="F51" s="64"/>
      <c r="G51" s="65"/>
      <c r="I51" s="61"/>
      <c r="J51" s="54"/>
      <c r="K51" s="191"/>
      <c r="L51" s="193"/>
      <c r="M51" s="191"/>
      <c r="N51" s="192"/>
      <c r="O51" s="193"/>
    </row>
    <row r="52" spans="3:15" x14ac:dyDescent="0.35">
      <c r="C52" s="61"/>
      <c r="D52" s="61"/>
      <c r="F52" s="64"/>
      <c r="G52" s="65"/>
      <c r="I52" s="61"/>
      <c r="J52" s="54"/>
      <c r="K52" s="191"/>
      <c r="L52" s="193"/>
      <c r="M52" s="191"/>
      <c r="N52" s="192"/>
      <c r="O52" s="193"/>
    </row>
    <row r="53" spans="3:15" x14ac:dyDescent="0.35">
      <c r="H53" s="209" t="s">
        <v>41</v>
      </c>
      <c r="I53" s="209"/>
      <c r="J53" s="209"/>
      <c r="K53" s="210"/>
      <c r="L53" s="46"/>
      <c r="M53" s="66"/>
    </row>
    <row r="54" spans="3:15" x14ac:dyDescent="0.35">
      <c r="H54" s="67" t="s">
        <v>42</v>
      </c>
      <c r="I54" s="67" t="s">
        <v>43</v>
      </c>
      <c r="J54" s="67" t="s">
        <v>44</v>
      </c>
      <c r="K54" s="210"/>
      <c r="L54" s="66"/>
    </row>
    <row r="55" spans="3:15" x14ac:dyDescent="0.35">
      <c r="F55" s="68"/>
      <c r="H55" s="42" t="s">
        <v>14</v>
      </c>
      <c r="I55" s="42" t="s">
        <v>15</v>
      </c>
      <c r="J55" s="68">
        <f>M5-O5-N5-L5+I5+I6</f>
        <v>279761</v>
      </c>
      <c r="K55" s="69">
        <v>309475</v>
      </c>
      <c r="L55" s="70">
        <f>J55-K55</f>
        <v>-29714</v>
      </c>
      <c r="M55" s="68"/>
    </row>
    <row r="56" spans="3:15" x14ac:dyDescent="0.35">
      <c r="C56" s="211">
        <v>45931</v>
      </c>
      <c r="D56" s="211"/>
      <c r="E56" s="211"/>
      <c r="H56" s="42" t="s">
        <v>14</v>
      </c>
      <c r="I56" s="42" t="s">
        <v>17</v>
      </c>
      <c r="J56" s="68">
        <f>M7-O7-N7-L7+I7+G56</f>
        <v>3500290</v>
      </c>
      <c r="K56" s="69">
        <v>3560738</v>
      </c>
      <c r="L56" s="70">
        <f t="shared" ref="L56:L67" si="13">J56-K56</f>
        <v>-60448</v>
      </c>
      <c r="M56" s="68"/>
    </row>
    <row r="57" spans="3:15" x14ac:dyDescent="0.35">
      <c r="C57" s="212" t="s">
        <v>63</v>
      </c>
      <c r="D57" s="212"/>
      <c r="E57" s="212"/>
      <c r="H57" s="42" t="s">
        <v>14</v>
      </c>
      <c r="I57" s="42" t="s">
        <v>18</v>
      </c>
      <c r="J57" s="68">
        <f>M8-O8-N8-L8+I8+G57</f>
        <v>1582952</v>
      </c>
      <c r="K57" s="69">
        <v>1582953</v>
      </c>
      <c r="L57" s="70">
        <f t="shared" si="13"/>
        <v>-1</v>
      </c>
      <c r="M57" s="68"/>
    </row>
    <row r="58" spans="3:15" x14ac:dyDescent="0.35">
      <c r="C58" s="61" t="s">
        <v>64</v>
      </c>
      <c r="D58" s="213">
        <f>'Opening Balance FEB 2026'!J4</f>
        <v>1308640</v>
      </c>
      <c r="E58" s="214"/>
      <c r="H58" s="42" t="s">
        <v>14</v>
      </c>
      <c r="I58" s="42" t="s">
        <v>19</v>
      </c>
      <c r="J58" s="68">
        <f>M9-O9-N9-L9+I9+G58</f>
        <v>1045519</v>
      </c>
      <c r="K58" s="69">
        <v>1046551</v>
      </c>
      <c r="L58" s="70">
        <f t="shared" si="13"/>
        <v>-1032</v>
      </c>
      <c r="M58" s="68"/>
    </row>
    <row r="59" spans="3:15" x14ac:dyDescent="0.35">
      <c r="C59" s="61" t="s">
        <v>65</v>
      </c>
      <c r="D59" s="213">
        <f>G43</f>
        <v>1238103</v>
      </c>
      <c r="E59" s="214"/>
      <c r="H59" s="42" t="s">
        <v>14</v>
      </c>
      <c r="I59" s="42" t="s">
        <v>20</v>
      </c>
      <c r="J59" s="68">
        <f>M10-O10-N10-L10+I10+G59</f>
        <v>1294384</v>
      </c>
      <c r="K59" s="69">
        <v>1294384</v>
      </c>
      <c r="L59" s="70">
        <f t="shared" si="13"/>
        <v>0</v>
      </c>
      <c r="M59" s="68"/>
    </row>
    <row r="60" spans="3:15" x14ac:dyDescent="0.35">
      <c r="C60" s="71" t="s">
        <v>45</v>
      </c>
      <c r="D60" s="215">
        <f>D58+D59</f>
        <v>2546743</v>
      </c>
      <c r="E60" s="216"/>
      <c r="H60" s="42" t="s">
        <v>14</v>
      </c>
      <c r="I60" s="42" t="s">
        <v>21</v>
      </c>
      <c r="J60" s="68">
        <f>M11-O11-N11-L11+I11+G60</f>
        <v>682499</v>
      </c>
      <c r="K60" s="69">
        <v>682500</v>
      </c>
      <c r="L60" s="70">
        <f t="shared" si="13"/>
        <v>-1</v>
      </c>
    </row>
    <row r="61" spans="3:15" x14ac:dyDescent="0.35">
      <c r="C61" s="61" t="s">
        <v>66</v>
      </c>
      <c r="D61" s="207">
        <v>0</v>
      </c>
      <c r="E61" s="208"/>
      <c r="H61" s="72" t="s">
        <v>45</v>
      </c>
      <c r="I61" s="72"/>
      <c r="J61" s="73">
        <f>SUM(J55:J60)</f>
        <v>8385405</v>
      </c>
      <c r="K61" s="74">
        <v>8475568</v>
      </c>
      <c r="L61" s="70">
        <f t="shared" si="13"/>
        <v>-90163</v>
      </c>
    </row>
    <row r="62" spans="3:15" x14ac:dyDescent="0.35">
      <c r="C62" s="61" t="s">
        <v>78</v>
      </c>
      <c r="D62" s="207">
        <v>0</v>
      </c>
      <c r="E62" s="208"/>
      <c r="H62" s="72"/>
      <c r="I62" s="72"/>
      <c r="J62" s="73"/>
      <c r="K62" s="75"/>
      <c r="L62" s="70"/>
    </row>
    <row r="63" spans="3:15" x14ac:dyDescent="0.35">
      <c r="C63" s="61" t="s">
        <v>75</v>
      </c>
      <c r="D63" s="207">
        <v>10000</v>
      </c>
      <c r="E63" s="208"/>
      <c r="H63" s="67" t="s">
        <v>42</v>
      </c>
      <c r="I63" s="67" t="s">
        <v>43</v>
      </c>
      <c r="J63" s="67" t="s">
        <v>44</v>
      </c>
      <c r="K63" s="66"/>
      <c r="L63" s="70"/>
    </row>
    <row r="64" spans="3:15" x14ac:dyDescent="0.35">
      <c r="C64" s="76" t="s">
        <v>83</v>
      </c>
      <c r="D64" s="217">
        <f>SUM(D61:E63)</f>
        <v>10000</v>
      </c>
      <c r="E64" s="218"/>
      <c r="H64" s="42" t="s">
        <v>46</v>
      </c>
      <c r="I64" s="42" t="s">
        <v>48</v>
      </c>
      <c r="J64" s="68">
        <f>M13-O13-N13-L13+I13</f>
        <v>522082</v>
      </c>
      <c r="K64" s="69">
        <v>445718</v>
      </c>
      <c r="L64" s="70">
        <f t="shared" si="13"/>
        <v>76364</v>
      </c>
    </row>
    <row r="65" spans="3:14" x14ac:dyDescent="0.35">
      <c r="C65" s="77" t="s">
        <v>67</v>
      </c>
      <c r="D65" s="219">
        <f>D60-D61-D63-D62</f>
        <v>2536743</v>
      </c>
      <c r="E65" s="220"/>
      <c r="H65" s="42" t="s">
        <v>46</v>
      </c>
      <c r="I65" s="42" t="s">
        <v>47</v>
      </c>
      <c r="J65" s="68">
        <f>M14-O14-N14-L14+I14+I15+I16+I17</f>
        <v>1569774</v>
      </c>
      <c r="K65" s="69">
        <v>1409476</v>
      </c>
      <c r="L65" s="70">
        <f t="shared" si="13"/>
        <v>160298</v>
      </c>
      <c r="N65" s="68"/>
    </row>
    <row r="66" spans="3:14" x14ac:dyDescent="0.35">
      <c r="C66" s="78" t="s">
        <v>68</v>
      </c>
      <c r="D66" s="221"/>
      <c r="E66" s="222"/>
      <c r="H66" s="42" t="s">
        <v>46</v>
      </c>
      <c r="I66" s="42" t="s">
        <v>15</v>
      </c>
      <c r="J66" s="68">
        <f>M18-O18-N18-L18+I18</f>
        <v>482869</v>
      </c>
      <c r="K66" s="69">
        <v>457177</v>
      </c>
      <c r="L66" s="70">
        <f t="shared" si="13"/>
        <v>25692</v>
      </c>
      <c r="M66" s="68"/>
      <c r="N66" s="68"/>
    </row>
    <row r="67" spans="3:14" x14ac:dyDescent="0.35">
      <c r="C67" s="61" t="s">
        <v>14</v>
      </c>
      <c r="D67" s="213">
        <v>0</v>
      </c>
      <c r="E67" s="214"/>
      <c r="H67" s="42" t="s">
        <v>46</v>
      </c>
      <c r="I67" s="42" t="s">
        <v>20</v>
      </c>
      <c r="J67" s="68">
        <v>8160</v>
      </c>
      <c r="K67" s="69">
        <v>8160</v>
      </c>
      <c r="L67" s="70">
        <f t="shared" si="13"/>
        <v>0</v>
      </c>
    </row>
    <row r="68" spans="3:14" x14ac:dyDescent="0.35">
      <c r="C68" s="61" t="s">
        <v>72</v>
      </c>
      <c r="D68" s="213">
        <v>0</v>
      </c>
      <c r="E68" s="214"/>
      <c r="H68" s="42" t="s">
        <v>27</v>
      </c>
      <c r="I68" s="42" t="s">
        <v>47</v>
      </c>
      <c r="J68" s="68">
        <f>M22-O22-N22-L22+I22</f>
        <v>51257</v>
      </c>
      <c r="K68" s="69">
        <v>51257</v>
      </c>
      <c r="L68" s="70">
        <f>J68-K68</f>
        <v>0</v>
      </c>
    </row>
    <row r="69" spans="3:14" x14ac:dyDescent="0.35">
      <c r="C69" s="61" t="s">
        <v>69</v>
      </c>
      <c r="D69" s="213">
        <v>0</v>
      </c>
      <c r="E69" s="214"/>
      <c r="H69" s="72" t="s">
        <v>45</v>
      </c>
      <c r="I69" s="72"/>
      <c r="J69" s="73">
        <f>SUM(J64:J68)</f>
        <v>2634142</v>
      </c>
      <c r="K69" s="69">
        <f>SUM(K64:K68)</f>
        <v>2371788</v>
      </c>
      <c r="L69" s="70">
        <f>J69-K69</f>
        <v>262354</v>
      </c>
    </row>
    <row r="70" spans="3:14" x14ac:dyDescent="0.35">
      <c r="C70" s="61" t="s">
        <v>70</v>
      </c>
      <c r="D70" s="213">
        <v>0</v>
      </c>
      <c r="E70" s="214"/>
      <c r="F70" s="68"/>
      <c r="H70" s="67" t="s">
        <v>42</v>
      </c>
      <c r="I70" s="67" t="s">
        <v>43</v>
      </c>
      <c r="J70" s="67" t="s">
        <v>44</v>
      </c>
    </row>
    <row r="71" spans="3:14" x14ac:dyDescent="0.35">
      <c r="C71" s="61" t="s">
        <v>71</v>
      </c>
      <c r="D71" s="213">
        <v>0</v>
      </c>
      <c r="E71" s="214"/>
      <c r="F71" s="79"/>
      <c r="G71" s="80"/>
      <c r="H71" s="42" t="s">
        <v>49</v>
      </c>
      <c r="I71" s="42" t="s">
        <v>51</v>
      </c>
      <c r="J71" s="68">
        <f>M30-O30-N30-L30+I30+I31</f>
        <v>1471406</v>
      </c>
      <c r="K71" s="69">
        <v>1343015</v>
      </c>
      <c r="L71" s="70">
        <f t="shared" ref="L71:L77" si="14">J71-K71</f>
        <v>128391</v>
      </c>
      <c r="N71" s="68"/>
    </row>
    <row r="72" spans="3:14" x14ac:dyDescent="0.35">
      <c r="C72" s="77" t="s">
        <v>73</v>
      </c>
      <c r="D72" s="219">
        <f>SUM(D67:D71)</f>
        <v>0</v>
      </c>
      <c r="E72" s="220"/>
      <c r="F72" s="68"/>
      <c r="H72" s="42" t="s">
        <v>49</v>
      </c>
      <c r="I72" s="42" t="s">
        <v>18</v>
      </c>
      <c r="J72" s="68">
        <f>M33-O33-N33-L33+I33</f>
        <v>174473</v>
      </c>
      <c r="K72" s="69">
        <v>174473</v>
      </c>
      <c r="L72" s="70">
        <f t="shared" si="14"/>
        <v>0</v>
      </c>
    </row>
    <row r="73" spans="3:14" x14ac:dyDescent="0.35">
      <c r="C73" s="81" t="s">
        <v>74</v>
      </c>
      <c r="D73" s="223">
        <f>D65-D72</f>
        <v>2536743</v>
      </c>
      <c r="E73" s="224"/>
      <c r="F73" s="68"/>
      <c r="H73" s="42" t="s">
        <v>49</v>
      </c>
      <c r="I73" s="42" t="s">
        <v>15</v>
      </c>
      <c r="J73" s="68">
        <f>M34-O34-N34-L34+I34</f>
        <v>35126</v>
      </c>
      <c r="K73" s="69">
        <v>35126</v>
      </c>
      <c r="L73" s="70">
        <f t="shared" si="14"/>
        <v>0</v>
      </c>
    </row>
    <row r="74" spans="3:14" x14ac:dyDescent="0.35">
      <c r="C74" s="61"/>
      <c r="D74" s="213">
        <v>3102990</v>
      </c>
      <c r="E74" s="214"/>
      <c r="H74" s="42" t="s">
        <v>49</v>
      </c>
      <c r="I74" s="42" t="s">
        <v>50</v>
      </c>
      <c r="J74" s="68">
        <f>M35-O35-N35-L35+I35+G74</f>
        <v>1427733</v>
      </c>
      <c r="K74" s="69">
        <v>1416217</v>
      </c>
      <c r="L74" s="70">
        <f t="shared" si="14"/>
        <v>11516</v>
      </c>
    </row>
    <row r="75" spans="3:14" x14ac:dyDescent="0.35">
      <c r="C75" s="61"/>
      <c r="D75" s="213">
        <f>D73-D74</f>
        <v>-566247</v>
      </c>
      <c r="E75" s="214"/>
      <c r="H75" s="42" t="s">
        <v>49</v>
      </c>
      <c r="I75" s="42" t="s">
        <v>20</v>
      </c>
      <c r="J75" s="68">
        <f>'Opening Balance FEB 2026'!F24</f>
        <v>66046</v>
      </c>
      <c r="K75" s="69">
        <v>96296</v>
      </c>
      <c r="L75" s="70">
        <f t="shared" si="14"/>
        <v>-30250</v>
      </c>
    </row>
    <row r="76" spans="3:14" x14ac:dyDescent="0.35">
      <c r="H76" s="42" t="s">
        <v>49</v>
      </c>
      <c r="I76" s="42" t="s">
        <v>47</v>
      </c>
      <c r="J76" s="68">
        <f>'Opening Balance FEB 2026'!F25</f>
        <v>23570</v>
      </c>
      <c r="K76" s="69">
        <v>23570</v>
      </c>
      <c r="L76" s="70">
        <f t="shared" si="14"/>
        <v>0</v>
      </c>
    </row>
    <row r="77" spans="3:14" x14ac:dyDescent="0.35">
      <c r="H77" s="72" t="s">
        <v>45</v>
      </c>
      <c r="I77" s="72"/>
      <c r="J77" s="73">
        <f>SUM(J71:J76)</f>
        <v>3198354</v>
      </c>
      <c r="K77" s="69">
        <v>3168989</v>
      </c>
      <c r="L77" s="70">
        <f t="shared" si="14"/>
        <v>29365</v>
      </c>
      <c r="N77" s="68"/>
    </row>
    <row r="78" spans="3:14" x14ac:dyDescent="0.35">
      <c r="H78" s="67" t="s">
        <v>42</v>
      </c>
      <c r="I78" s="67" t="s">
        <v>43</v>
      </c>
      <c r="J78" s="67" t="s">
        <v>44</v>
      </c>
    </row>
    <row r="79" spans="3:14" x14ac:dyDescent="0.35">
      <c r="H79" s="42" t="s">
        <v>52</v>
      </c>
      <c r="I79" s="42" t="s">
        <v>53</v>
      </c>
      <c r="J79" s="68">
        <f>M24-O24-N24-L24+I24-G78</f>
        <v>33969</v>
      </c>
      <c r="K79" s="68">
        <v>33969</v>
      </c>
      <c r="L79" s="70">
        <f>J79-K79</f>
        <v>0</v>
      </c>
    </row>
    <row r="80" spans="3:14" x14ac:dyDescent="0.35">
      <c r="H80" s="42" t="s">
        <v>52</v>
      </c>
      <c r="I80" s="42" t="s">
        <v>47</v>
      </c>
      <c r="J80" s="68">
        <v>166366</v>
      </c>
      <c r="K80" s="82">
        <v>166366</v>
      </c>
      <c r="L80" s="70">
        <f>J80-K80</f>
        <v>0</v>
      </c>
    </row>
    <row r="81" spans="4:12" x14ac:dyDescent="0.35">
      <c r="H81" s="72" t="s">
        <v>45</v>
      </c>
      <c r="I81" s="72"/>
      <c r="J81" s="73">
        <f>SUM(J79:J80)</f>
        <v>200335</v>
      </c>
      <c r="K81" s="68">
        <v>160846</v>
      </c>
      <c r="L81" s="70">
        <f>J81-K81</f>
        <v>39489</v>
      </c>
    </row>
    <row r="82" spans="4:12" x14ac:dyDescent="0.35">
      <c r="G82" s="42">
        <v>0</v>
      </c>
      <c r="H82" s="67" t="s">
        <v>42</v>
      </c>
      <c r="I82" s="67" t="s">
        <v>43</v>
      </c>
      <c r="J82" s="67" t="s">
        <v>44</v>
      </c>
      <c r="K82" s="69">
        <v>0</v>
      </c>
      <c r="L82" s="70"/>
    </row>
    <row r="83" spans="4:12" x14ac:dyDescent="0.35">
      <c r="H83" s="42" t="s">
        <v>54</v>
      </c>
      <c r="I83" s="42" t="s">
        <v>53</v>
      </c>
      <c r="J83" s="68">
        <f>M27-O27-N27-L27+I27-G82</f>
        <v>89658</v>
      </c>
      <c r="K83" s="69">
        <v>89658</v>
      </c>
      <c r="L83" s="70">
        <f>J83-K83</f>
        <v>0</v>
      </c>
    </row>
    <row r="84" spans="4:12" x14ac:dyDescent="0.35">
      <c r="H84" s="42" t="s">
        <v>54</v>
      </c>
      <c r="I84" s="42" t="s">
        <v>18</v>
      </c>
      <c r="J84" s="68">
        <f>M28-O28-N28-L28+I28</f>
        <v>17000</v>
      </c>
      <c r="K84" s="69">
        <v>67000</v>
      </c>
      <c r="L84" s="70">
        <f>J84-K84</f>
        <v>-50000</v>
      </c>
    </row>
    <row r="85" spans="4:12" x14ac:dyDescent="0.35">
      <c r="H85" s="72" t="s">
        <v>45</v>
      </c>
      <c r="I85" s="72"/>
      <c r="J85" s="73">
        <f>SUM(J83:J84)</f>
        <v>106658</v>
      </c>
      <c r="K85" s="68">
        <f>SUM(K82:K84)</f>
        <v>156658</v>
      </c>
      <c r="L85" s="70">
        <f>J85-K85</f>
        <v>-50000</v>
      </c>
    </row>
    <row r="86" spans="4:12" x14ac:dyDescent="0.35">
      <c r="H86" s="67" t="s">
        <v>42</v>
      </c>
      <c r="I86" s="67" t="s">
        <v>43</v>
      </c>
      <c r="J86" s="67" t="s">
        <v>44</v>
      </c>
      <c r="K86" s="69">
        <v>0</v>
      </c>
      <c r="L86" s="70"/>
    </row>
    <row r="87" spans="4:12" x14ac:dyDescent="0.35">
      <c r="H87" s="42" t="s">
        <v>55</v>
      </c>
      <c r="I87" s="42" t="s">
        <v>56</v>
      </c>
      <c r="J87" s="68">
        <f>'Opening Balance FEB 2026'!F36</f>
        <v>103541</v>
      </c>
      <c r="K87" s="69">
        <v>103541</v>
      </c>
      <c r="L87" s="70">
        <f>J87-K87</f>
        <v>0</v>
      </c>
    </row>
    <row r="88" spans="4:12" x14ac:dyDescent="0.35">
      <c r="H88" s="42" t="s">
        <v>55</v>
      </c>
      <c r="I88" s="42" t="s">
        <v>47</v>
      </c>
      <c r="J88" s="68">
        <f>'Opening Balance FEB 2026'!F37</f>
        <v>6013</v>
      </c>
      <c r="K88" s="69">
        <v>6013</v>
      </c>
      <c r="L88" s="70">
        <f>J88-K88</f>
        <v>0</v>
      </c>
    </row>
    <row r="89" spans="4:12" x14ac:dyDescent="0.35">
      <c r="H89" s="72" t="s">
        <v>45</v>
      </c>
      <c r="I89" s="72"/>
      <c r="J89" s="73">
        <v>109554</v>
      </c>
      <c r="K89" s="68">
        <f>SUM(K86:K88)</f>
        <v>109554</v>
      </c>
      <c r="L89" s="70">
        <f>J89-K89</f>
        <v>0</v>
      </c>
    </row>
    <row r="90" spans="4:12" x14ac:dyDescent="0.35">
      <c r="H90" s="67" t="s">
        <v>42</v>
      </c>
      <c r="I90" s="67" t="s">
        <v>43</v>
      </c>
      <c r="J90" s="67" t="s">
        <v>44</v>
      </c>
      <c r="K90" s="69">
        <v>0</v>
      </c>
      <c r="L90" s="70"/>
    </row>
    <row r="91" spans="4:12" x14ac:dyDescent="0.35">
      <c r="H91" s="42" t="s">
        <v>57</v>
      </c>
      <c r="I91" s="42" t="s">
        <v>47</v>
      </c>
      <c r="J91" s="68">
        <f>'Opening Balance FEB 2026'!F40</f>
        <v>16440</v>
      </c>
      <c r="K91" s="69">
        <v>16440</v>
      </c>
      <c r="L91" s="70">
        <f>J91-K91</f>
        <v>0</v>
      </c>
    </row>
    <row r="92" spans="4:12" x14ac:dyDescent="0.35">
      <c r="H92" s="72" t="s">
        <v>45</v>
      </c>
      <c r="I92" s="72"/>
      <c r="J92" s="73">
        <v>16440</v>
      </c>
      <c r="K92" s="69">
        <f>SUM(K90:K91)</f>
        <v>16440</v>
      </c>
    </row>
    <row r="93" spans="4:12" x14ac:dyDescent="0.35">
      <c r="J93" s="68"/>
    </row>
    <row r="94" spans="4:12" x14ac:dyDescent="0.35">
      <c r="H94" s="83" t="s">
        <v>58</v>
      </c>
      <c r="I94" s="83"/>
      <c r="J94" s="84">
        <f>J92+J89+J85+J81+J77+J69+J61</f>
        <v>14650888</v>
      </c>
    </row>
    <row r="96" spans="4:12" x14ac:dyDescent="0.35">
      <c r="D96" s="85" t="s">
        <v>82</v>
      </c>
      <c r="E96" s="85"/>
      <c r="F96" s="85"/>
      <c r="G96" s="85"/>
      <c r="H96" s="85"/>
    </row>
    <row r="97" spans="4:8" x14ac:dyDescent="0.35">
      <c r="D97" s="78" t="s">
        <v>42</v>
      </c>
      <c r="E97" s="78" t="s">
        <v>43</v>
      </c>
      <c r="F97" s="78" t="s">
        <v>79</v>
      </c>
      <c r="G97" s="78" t="s">
        <v>80</v>
      </c>
      <c r="H97" s="78" t="s">
        <v>81</v>
      </c>
    </row>
    <row r="98" spans="4:8" x14ac:dyDescent="0.35">
      <c r="D98" s="61" t="s">
        <v>14</v>
      </c>
      <c r="E98" s="61" t="s">
        <v>15</v>
      </c>
      <c r="F98" s="86">
        <f>H5</f>
        <v>45330</v>
      </c>
      <c r="G98" s="86">
        <f>O5</f>
        <v>26739</v>
      </c>
      <c r="H98" s="86">
        <f>I5</f>
        <v>12452</v>
      </c>
    </row>
    <row r="99" spans="4:8" x14ac:dyDescent="0.35">
      <c r="D99" s="61" t="s">
        <v>14</v>
      </c>
      <c r="E99" s="61" t="s">
        <v>17</v>
      </c>
      <c r="F99" s="86">
        <f>H7</f>
        <v>0</v>
      </c>
      <c r="G99" s="86">
        <f>O7</f>
        <v>50000</v>
      </c>
      <c r="H99" s="86">
        <f>I7</f>
        <v>0</v>
      </c>
    </row>
    <row r="100" spans="4:8" x14ac:dyDescent="0.35">
      <c r="D100" s="61" t="s">
        <v>14</v>
      </c>
      <c r="E100" s="61" t="s">
        <v>18</v>
      </c>
      <c r="F100" s="86">
        <f>H8</f>
        <v>241190</v>
      </c>
      <c r="G100" s="86">
        <f>O8</f>
        <v>50852</v>
      </c>
      <c r="H100" s="86">
        <f>I8</f>
        <v>165023</v>
      </c>
    </row>
    <row r="101" spans="4:8" x14ac:dyDescent="0.35">
      <c r="D101" s="61" t="s">
        <v>14</v>
      </c>
      <c r="E101" s="61" t="s">
        <v>19</v>
      </c>
      <c r="F101" s="86">
        <f>H9</f>
        <v>108168</v>
      </c>
      <c r="G101" s="86">
        <f>O9</f>
        <v>94246</v>
      </c>
      <c r="H101" s="86">
        <f>I9</f>
        <v>106607</v>
      </c>
    </row>
    <row r="102" spans="4:8" x14ac:dyDescent="0.35">
      <c r="D102" s="61" t="s">
        <v>14</v>
      </c>
      <c r="E102" s="61" t="s">
        <v>20</v>
      </c>
      <c r="F102" s="86">
        <f>H10</f>
        <v>238070</v>
      </c>
      <c r="G102" s="86">
        <f>O10</f>
        <v>68120</v>
      </c>
      <c r="H102" s="86">
        <f>I10</f>
        <v>67871</v>
      </c>
    </row>
    <row r="103" spans="4:8" x14ac:dyDescent="0.35">
      <c r="D103" s="61" t="s">
        <v>14</v>
      </c>
      <c r="E103" s="61" t="s">
        <v>21</v>
      </c>
      <c r="F103" s="86" t="e">
        <f>H11+#REF!</f>
        <v>#REF!</v>
      </c>
      <c r="G103" s="86">
        <f>O11</f>
        <v>40113</v>
      </c>
      <c r="H103" s="86">
        <f>I11</f>
        <v>137028</v>
      </c>
    </row>
    <row r="104" spans="4:8" x14ac:dyDescent="0.35">
      <c r="D104" s="87" t="s">
        <v>45</v>
      </c>
      <c r="E104" s="87"/>
      <c r="F104" s="88" t="e">
        <f>SUM(F98:F103)</f>
        <v>#REF!</v>
      </c>
      <c r="G104" s="88">
        <f t="shared" ref="G104" si="15">SUM(G98:G103)</f>
        <v>330070</v>
      </c>
      <c r="H104" s="88">
        <f>SUM(H98:H103)</f>
        <v>488981</v>
      </c>
    </row>
    <row r="105" spans="4:8" x14ac:dyDescent="0.35">
      <c r="D105" s="78" t="s">
        <v>42</v>
      </c>
      <c r="E105" s="78" t="s">
        <v>43</v>
      </c>
      <c r="F105" s="89" t="s">
        <v>79</v>
      </c>
      <c r="G105" s="89" t="s">
        <v>80</v>
      </c>
      <c r="H105" s="89" t="s">
        <v>81</v>
      </c>
    </row>
    <row r="106" spans="4:8" x14ac:dyDescent="0.35">
      <c r="D106" s="61" t="s">
        <v>46</v>
      </c>
      <c r="E106" s="61" t="s">
        <v>48</v>
      </c>
      <c r="F106" s="86">
        <f>H13</f>
        <v>121220</v>
      </c>
      <c r="G106" s="86">
        <f>O13</f>
        <v>0</v>
      </c>
      <c r="H106" s="86">
        <f>I13</f>
        <v>76364</v>
      </c>
    </row>
    <row r="107" spans="4:8" x14ac:dyDescent="0.35">
      <c r="D107" s="61" t="s">
        <v>46</v>
      </c>
      <c r="E107" s="61" t="s">
        <v>47</v>
      </c>
      <c r="F107" s="86">
        <f>H14</f>
        <v>34771</v>
      </c>
      <c r="G107" s="86">
        <f>O14</f>
        <v>70813</v>
      </c>
      <c r="H107" s="86">
        <f>I14</f>
        <v>7684</v>
      </c>
    </row>
    <row r="108" spans="4:8" x14ac:dyDescent="0.35">
      <c r="D108" s="61" t="s">
        <v>27</v>
      </c>
      <c r="E108" s="61" t="s">
        <v>47</v>
      </c>
      <c r="F108" s="86">
        <v>0</v>
      </c>
      <c r="G108" s="86">
        <v>0</v>
      </c>
      <c r="H108" s="86">
        <v>0</v>
      </c>
    </row>
    <row r="109" spans="4:8" x14ac:dyDescent="0.35">
      <c r="D109" s="87" t="s">
        <v>45</v>
      </c>
      <c r="E109" s="87"/>
      <c r="F109" s="88">
        <f>SUM(F106:F108)</f>
        <v>155991</v>
      </c>
      <c r="G109" s="88">
        <f>SUM(G106:G108)</f>
        <v>70813</v>
      </c>
      <c r="H109" s="88">
        <f>SUM(H106:H108)</f>
        <v>84048</v>
      </c>
    </row>
    <row r="110" spans="4:8" x14ac:dyDescent="0.35">
      <c r="D110" s="78" t="s">
        <v>42</v>
      </c>
      <c r="E110" s="78" t="s">
        <v>43</v>
      </c>
      <c r="F110" s="89" t="s">
        <v>79</v>
      </c>
      <c r="G110" s="89" t="s">
        <v>80</v>
      </c>
      <c r="H110" s="89" t="s">
        <v>81</v>
      </c>
    </row>
    <row r="111" spans="4:8" x14ac:dyDescent="0.35">
      <c r="D111" s="61" t="s">
        <v>49</v>
      </c>
      <c r="E111" s="61" t="s">
        <v>51</v>
      </c>
      <c r="F111" s="86" t="e">
        <f>#REF!</f>
        <v>#REF!</v>
      </c>
      <c r="G111" s="86" t="e">
        <f>#REF!</f>
        <v>#REF!</v>
      </c>
      <c r="H111" s="86" t="e">
        <f>#REF!</f>
        <v>#REF!</v>
      </c>
    </row>
    <row r="112" spans="4:8" x14ac:dyDescent="0.35">
      <c r="D112" s="61" t="s">
        <v>49</v>
      </c>
      <c r="E112" s="61" t="s">
        <v>18</v>
      </c>
      <c r="F112" s="86">
        <f>H33</f>
        <v>0</v>
      </c>
      <c r="G112" s="86">
        <f>O33</f>
        <v>0</v>
      </c>
      <c r="H112" s="86">
        <v>0</v>
      </c>
    </row>
    <row r="113" spans="4:8" x14ac:dyDescent="0.35">
      <c r="D113" s="61" t="s">
        <v>49</v>
      </c>
      <c r="E113" s="61" t="s">
        <v>50</v>
      </c>
      <c r="F113" s="86" t="e">
        <f>#REF!+#REF!</f>
        <v>#REF!</v>
      </c>
      <c r="G113" s="86" t="e">
        <f>#REF!</f>
        <v>#REF!</v>
      </c>
      <c r="H113" s="86" t="e">
        <f>#REF!+#REF!</f>
        <v>#REF!</v>
      </c>
    </row>
    <row r="114" spans="4:8" x14ac:dyDescent="0.35">
      <c r="D114" s="87" t="s">
        <v>45</v>
      </c>
      <c r="E114" s="87"/>
      <c r="F114" s="88" t="e">
        <f>SUM(F111:F113)</f>
        <v>#REF!</v>
      </c>
      <c r="G114" s="88" t="e">
        <f>SUM(G111:G113)</f>
        <v>#REF!</v>
      </c>
      <c r="H114" s="88" t="e">
        <f>SUM(H111:H113)</f>
        <v>#REF!</v>
      </c>
    </row>
    <row r="115" spans="4:8" x14ac:dyDescent="0.35">
      <c r="D115" s="78" t="s">
        <v>42</v>
      </c>
      <c r="E115" s="78" t="s">
        <v>43</v>
      </c>
      <c r="F115" s="89" t="s">
        <v>79</v>
      </c>
      <c r="G115" s="89" t="s">
        <v>80</v>
      </c>
      <c r="H115" s="89" t="s">
        <v>81</v>
      </c>
    </row>
    <row r="116" spans="4:8" x14ac:dyDescent="0.35">
      <c r="D116" s="61" t="s">
        <v>52</v>
      </c>
      <c r="E116" s="61" t="s">
        <v>53</v>
      </c>
      <c r="F116" s="86">
        <f>H24</f>
        <v>0</v>
      </c>
      <c r="G116" s="86">
        <f>O24</f>
        <v>0</v>
      </c>
      <c r="H116" s="86">
        <f>I24</f>
        <v>0</v>
      </c>
    </row>
    <row r="117" spans="4:8" x14ac:dyDescent="0.35">
      <c r="D117" s="87" t="s">
        <v>45</v>
      </c>
      <c r="E117" s="87"/>
      <c r="F117" s="88">
        <f>SUM(F116)</f>
        <v>0</v>
      </c>
      <c r="G117" s="88">
        <f t="shared" ref="G117" si="16">SUM(G116)</f>
        <v>0</v>
      </c>
      <c r="H117" s="88">
        <f>SUM(H116)</f>
        <v>0</v>
      </c>
    </row>
    <row r="118" spans="4:8" x14ac:dyDescent="0.35">
      <c r="D118" s="78" t="s">
        <v>42</v>
      </c>
      <c r="E118" s="78" t="s">
        <v>43</v>
      </c>
      <c r="F118" s="89" t="s">
        <v>79</v>
      </c>
      <c r="G118" s="89" t="s">
        <v>80</v>
      </c>
      <c r="H118" s="89" t="s">
        <v>81</v>
      </c>
    </row>
    <row r="119" spans="4:8" x14ac:dyDescent="0.35">
      <c r="D119" s="61" t="s">
        <v>54</v>
      </c>
      <c r="E119" s="61" t="s">
        <v>53</v>
      </c>
      <c r="F119" s="86">
        <f>H27</f>
        <v>0</v>
      </c>
      <c r="G119" s="86">
        <f>O27</f>
        <v>0</v>
      </c>
      <c r="H119" s="86">
        <f>I27</f>
        <v>0</v>
      </c>
    </row>
    <row r="120" spans="4:8" x14ac:dyDescent="0.35">
      <c r="D120" s="61" t="s">
        <v>54</v>
      </c>
      <c r="E120" s="61" t="s">
        <v>18</v>
      </c>
      <c r="F120" s="86">
        <f>H28</f>
        <v>0</v>
      </c>
      <c r="G120" s="86">
        <f>O28</f>
        <v>0</v>
      </c>
      <c r="H120" s="86">
        <f>I28</f>
        <v>0</v>
      </c>
    </row>
    <row r="121" spans="4:8" x14ac:dyDescent="0.35">
      <c r="D121" s="87" t="s">
        <v>45</v>
      </c>
      <c r="E121" s="87"/>
      <c r="F121" s="88">
        <f>SUM(F119:F120)</f>
        <v>0</v>
      </c>
      <c r="G121" s="88">
        <f t="shared" ref="G121" si="17">SUM(G119:G120)</f>
        <v>0</v>
      </c>
      <c r="H121" s="88">
        <f>SUM(H119:H120)</f>
        <v>0</v>
      </c>
    </row>
    <row r="122" spans="4:8" x14ac:dyDescent="0.35">
      <c r="D122" s="90"/>
      <c r="E122" s="90"/>
      <c r="F122" s="91" t="e">
        <f>F121+F117+F114+F109+F104</f>
        <v>#REF!</v>
      </c>
      <c r="G122" s="91" t="e">
        <f t="shared" ref="G122" si="18">G121+G117+G114+G109+G104</f>
        <v>#REF!</v>
      </c>
      <c r="H122" s="91" t="e">
        <f>H121+H117+H114+H109+H104</f>
        <v>#REF!</v>
      </c>
    </row>
  </sheetData>
  <mergeCells count="43">
    <mergeCell ref="D75:E75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63:E63"/>
    <mergeCell ref="K52:L52"/>
    <mergeCell ref="M52:O52"/>
    <mergeCell ref="H53:J53"/>
    <mergeCell ref="K53:K54"/>
    <mergeCell ref="C56:E56"/>
    <mergeCell ref="C57:E57"/>
    <mergeCell ref="D58:E58"/>
    <mergeCell ref="D59:E59"/>
    <mergeCell ref="D60:E60"/>
    <mergeCell ref="D61:E61"/>
    <mergeCell ref="D62:E62"/>
    <mergeCell ref="K49:L49"/>
    <mergeCell ref="M49:O49"/>
    <mergeCell ref="K50:L50"/>
    <mergeCell ref="M50:O50"/>
    <mergeCell ref="K51:L51"/>
    <mergeCell ref="M51:O51"/>
    <mergeCell ref="M48:O48"/>
    <mergeCell ref="C2:O2"/>
    <mergeCell ref="C3:O3"/>
    <mergeCell ref="H38:I38"/>
    <mergeCell ref="K39:L39"/>
    <mergeCell ref="M39:O39"/>
    <mergeCell ref="C40:D40"/>
    <mergeCell ref="K40:L40"/>
    <mergeCell ref="K41:L41"/>
    <mergeCell ref="K42:L42"/>
    <mergeCell ref="K43:L43"/>
    <mergeCell ref="K44:L44"/>
    <mergeCell ref="K48:L48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6"/>
  <sheetViews>
    <sheetView topLeftCell="A37" zoomScale="60" zoomScaleNormal="60" workbookViewId="0">
      <selection activeCell="O8" sqref="O8"/>
    </sheetView>
  </sheetViews>
  <sheetFormatPr defaultRowHeight="21" x14ac:dyDescent="0.35"/>
  <cols>
    <col min="1" max="1" width="5.5703125" style="42" customWidth="1"/>
    <col min="2" max="2" width="0.140625" style="42" hidden="1" customWidth="1"/>
    <col min="3" max="3" width="20.85546875" style="42" customWidth="1"/>
    <col min="4" max="4" width="26.42578125" style="42" customWidth="1"/>
    <col min="5" max="5" width="18.140625" style="42" customWidth="1"/>
    <col min="6" max="6" width="20.85546875" style="42" customWidth="1"/>
    <col min="7" max="7" width="21" style="42" customWidth="1"/>
    <col min="8" max="8" width="22.85546875" style="42" customWidth="1"/>
    <col min="9" max="9" width="23.5703125" style="42" customWidth="1"/>
    <col min="10" max="10" width="21.42578125" style="42" customWidth="1"/>
    <col min="11" max="11" width="21.28515625" style="42" customWidth="1"/>
    <col min="12" max="12" width="22.5703125" style="42" customWidth="1"/>
    <col min="13" max="13" width="26.42578125" style="42" customWidth="1"/>
    <col min="14" max="14" width="17.5703125" style="42" customWidth="1"/>
    <col min="15" max="15" width="22" style="42" customWidth="1"/>
    <col min="16" max="16" width="7.5703125" style="42" customWidth="1"/>
    <col min="17" max="17" width="14.28515625" style="42" bestFit="1" customWidth="1"/>
    <col min="18" max="18" width="11.42578125" style="42" customWidth="1"/>
    <col min="19" max="16384" width="9.140625" style="42"/>
  </cols>
  <sheetData>
    <row r="2" spans="1:16" x14ac:dyDescent="0.35">
      <c r="C2" s="194">
        <v>46092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6"/>
    </row>
    <row r="3" spans="1:16" x14ac:dyDescent="0.35">
      <c r="C3" s="197" t="s">
        <v>0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6" ht="63" x14ac:dyDescent="0.35">
      <c r="A4" s="102"/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  <c r="J4" s="40" t="s">
        <v>8</v>
      </c>
      <c r="K4" s="43" t="s">
        <v>9</v>
      </c>
      <c r="L4" s="43" t="s">
        <v>10</v>
      </c>
      <c r="M4" s="44" t="s">
        <v>11</v>
      </c>
      <c r="N4" s="45" t="s">
        <v>12</v>
      </c>
      <c r="O4" s="40" t="s">
        <v>13</v>
      </c>
    </row>
    <row r="5" spans="1:16" x14ac:dyDescent="0.35">
      <c r="A5" s="46"/>
      <c r="C5" s="37" t="s">
        <v>14</v>
      </c>
      <c r="D5" s="38" t="s">
        <v>15</v>
      </c>
      <c r="E5" s="39" t="s">
        <v>97</v>
      </c>
      <c r="F5" s="27">
        <v>74159</v>
      </c>
      <c r="G5" s="27">
        <v>0</v>
      </c>
      <c r="H5" s="28">
        <f>F5-G5</f>
        <v>74159</v>
      </c>
      <c r="I5" s="28">
        <f>H5-J5</f>
        <v>38765</v>
      </c>
      <c r="J5" s="25">
        <v>35394</v>
      </c>
      <c r="K5" s="29">
        <v>0</v>
      </c>
      <c r="L5" s="25">
        <v>0</v>
      </c>
      <c r="M5" s="27">
        <f>'10-03-2026'!J55</f>
        <v>279761</v>
      </c>
      <c r="N5" s="29">
        <v>0</v>
      </c>
      <c r="O5" s="30">
        <v>0</v>
      </c>
      <c r="P5" s="47"/>
    </row>
    <row r="6" spans="1:16" x14ac:dyDescent="0.35">
      <c r="A6" s="46"/>
      <c r="C6" s="37" t="s">
        <v>14</v>
      </c>
      <c r="D6" s="38" t="s">
        <v>17</v>
      </c>
      <c r="E6" s="39" t="s">
        <v>85</v>
      </c>
      <c r="F6" s="27">
        <v>0</v>
      </c>
      <c r="G6" s="27">
        <v>0</v>
      </c>
      <c r="H6" s="28">
        <f t="shared" ref="H6:H10" si="0">F6-G6</f>
        <v>0</v>
      </c>
      <c r="I6" s="28">
        <f t="shared" ref="I6:I10" si="1">H6-J6</f>
        <v>0</v>
      </c>
      <c r="J6" s="25">
        <v>0</v>
      </c>
      <c r="K6" s="29">
        <v>0</v>
      </c>
      <c r="L6" s="25">
        <v>0</v>
      </c>
      <c r="M6" s="27">
        <f>'10-03-2026'!J56</f>
        <v>3500290</v>
      </c>
      <c r="N6" s="29">
        <v>0</v>
      </c>
      <c r="O6" s="30">
        <v>0</v>
      </c>
    </row>
    <row r="7" spans="1:16" x14ac:dyDescent="0.35">
      <c r="A7" s="46"/>
      <c r="C7" s="37" t="s">
        <v>14</v>
      </c>
      <c r="D7" s="38" t="s">
        <v>18</v>
      </c>
      <c r="E7" s="39" t="s">
        <v>98</v>
      </c>
      <c r="F7" s="27">
        <v>211388</v>
      </c>
      <c r="G7" s="27">
        <v>745</v>
      </c>
      <c r="H7" s="28">
        <f t="shared" si="0"/>
        <v>210643</v>
      </c>
      <c r="I7" s="28">
        <f t="shared" si="1"/>
        <v>191056</v>
      </c>
      <c r="J7" s="25">
        <v>19587</v>
      </c>
      <c r="K7" s="29">
        <v>0</v>
      </c>
      <c r="L7" s="25">
        <v>0</v>
      </c>
      <c r="M7" s="27">
        <f>'10-03-2026'!J57</f>
        <v>1582952</v>
      </c>
      <c r="N7" s="29">
        <v>0</v>
      </c>
      <c r="O7" s="30">
        <v>80558</v>
      </c>
    </row>
    <row r="8" spans="1:16" x14ac:dyDescent="0.35">
      <c r="A8" s="46"/>
      <c r="C8" s="37" t="s">
        <v>14</v>
      </c>
      <c r="D8" s="38" t="s">
        <v>19</v>
      </c>
      <c r="E8" s="39" t="s">
        <v>95</v>
      </c>
      <c r="F8" s="27">
        <v>121281</v>
      </c>
      <c r="G8" s="27">
        <v>0</v>
      </c>
      <c r="H8" s="28">
        <f t="shared" si="0"/>
        <v>121281</v>
      </c>
      <c r="I8" s="28">
        <f t="shared" si="1"/>
        <v>117349</v>
      </c>
      <c r="J8" s="25">
        <v>3932</v>
      </c>
      <c r="K8" s="29">
        <v>0</v>
      </c>
      <c r="L8" s="25">
        <v>0</v>
      </c>
      <c r="M8" s="27">
        <f>'10-03-2026'!J58</f>
        <v>1045519</v>
      </c>
      <c r="N8" s="29">
        <v>0</v>
      </c>
      <c r="O8" s="30">
        <v>41113</v>
      </c>
    </row>
    <row r="9" spans="1:16" x14ac:dyDescent="0.35">
      <c r="A9" s="46"/>
      <c r="C9" s="37" t="s">
        <v>14</v>
      </c>
      <c r="D9" s="38" t="s">
        <v>20</v>
      </c>
      <c r="E9" s="39" t="s">
        <v>97</v>
      </c>
      <c r="F9" s="27">
        <v>103186</v>
      </c>
      <c r="G9" s="27">
        <v>1227</v>
      </c>
      <c r="H9" s="28">
        <f t="shared" si="0"/>
        <v>101959</v>
      </c>
      <c r="I9" s="28">
        <f t="shared" si="1"/>
        <v>46299</v>
      </c>
      <c r="J9" s="25">
        <v>55660</v>
      </c>
      <c r="K9" s="29">
        <v>0</v>
      </c>
      <c r="L9" s="25">
        <v>0</v>
      </c>
      <c r="M9" s="27">
        <f>'10-03-2026'!J59</f>
        <v>1294384</v>
      </c>
      <c r="N9" s="29">
        <v>290</v>
      </c>
      <c r="O9" s="30">
        <v>33455</v>
      </c>
    </row>
    <row r="10" spans="1:16" x14ac:dyDescent="0.35">
      <c r="A10" s="46"/>
      <c r="C10" s="37" t="s">
        <v>14</v>
      </c>
      <c r="D10" s="38" t="s">
        <v>21</v>
      </c>
      <c r="E10" s="39" t="s">
        <v>86</v>
      </c>
      <c r="F10" s="27">
        <v>112747</v>
      </c>
      <c r="G10" s="27">
        <v>0</v>
      </c>
      <c r="H10" s="28">
        <f t="shared" si="0"/>
        <v>112747</v>
      </c>
      <c r="I10" s="28">
        <f t="shared" si="1"/>
        <v>94986</v>
      </c>
      <c r="J10" s="25">
        <v>17761</v>
      </c>
      <c r="K10" s="29">
        <v>0</v>
      </c>
      <c r="L10" s="25">
        <v>0</v>
      </c>
      <c r="M10" s="27">
        <f>'10-03-2026'!J60</f>
        <v>682499</v>
      </c>
      <c r="N10" s="29">
        <v>0</v>
      </c>
      <c r="O10" s="30">
        <v>49125</v>
      </c>
    </row>
    <row r="11" spans="1:16" x14ac:dyDescent="0.35">
      <c r="A11" s="48"/>
      <c r="C11" s="40" t="s">
        <v>22</v>
      </c>
      <c r="D11" s="40"/>
      <c r="E11" s="40"/>
      <c r="F11" s="31">
        <f t="shared" ref="F11:O11" si="2">SUM(F5:F10)</f>
        <v>622761</v>
      </c>
      <c r="G11" s="31">
        <f t="shared" si="2"/>
        <v>1972</v>
      </c>
      <c r="H11" s="31">
        <f t="shared" si="2"/>
        <v>620789</v>
      </c>
      <c r="I11" s="31">
        <f t="shared" si="2"/>
        <v>488455</v>
      </c>
      <c r="J11" s="31">
        <f t="shared" si="2"/>
        <v>132334</v>
      </c>
      <c r="K11" s="31">
        <f t="shared" si="2"/>
        <v>0</v>
      </c>
      <c r="L11" s="31">
        <f t="shared" si="2"/>
        <v>0</v>
      </c>
      <c r="M11" s="31">
        <f t="shared" si="2"/>
        <v>8385405</v>
      </c>
      <c r="N11" s="31">
        <f t="shared" si="2"/>
        <v>290</v>
      </c>
      <c r="O11" s="31">
        <f t="shared" si="2"/>
        <v>204251</v>
      </c>
    </row>
    <row r="12" spans="1:16" x14ac:dyDescent="0.35">
      <c r="C12" s="37" t="s">
        <v>23</v>
      </c>
      <c r="D12" s="38" t="s">
        <v>24</v>
      </c>
      <c r="E12" s="39" t="s">
        <v>84</v>
      </c>
      <c r="F12" s="27">
        <v>0</v>
      </c>
      <c r="G12" s="27">
        <v>0</v>
      </c>
      <c r="H12" s="28">
        <f t="shared" ref="H12:H29" si="3">F12-G12</f>
        <v>0</v>
      </c>
      <c r="I12" s="28">
        <f t="shared" ref="I12:I29" si="4">H12-J12</f>
        <v>0</v>
      </c>
      <c r="J12" s="25">
        <v>0</v>
      </c>
      <c r="K12" s="29">
        <v>0</v>
      </c>
      <c r="L12" s="25">
        <v>0</v>
      </c>
      <c r="M12" s="27">
        <f>'10-03-2026'!J64</f>
        <v>522082</v>
      </c>
      <c r="N12" s="29">
        <v>0</v>
      </c>
      <c r="O12" s="25">
        <v>57097</v>
      </c>
    </row>
    <row r="13" spans="1:16" x14ac:dyDescent="0.35">
      <c r="C13" s="37" t="s">
        <v>23</v>
      </c>
      <c r="D13" s="38" t="s">
        <v>25</v>
      </c>
      <c r="E13" s="39" t="s">
        <v>84</v>
      </c>
      <c r="F13" s="27">
        <v>489686</v>
      </c>
      <c r="G13" s="27">
        <v>0</v>
      </c>
      <c r="H13" s="28">
        <f t="shared" si="3"/>
        <v>489686</v>
      </c>
      <c r="I13" s="28">
        <f t="shared" si="4"/>
        <v>485686</v>
      </c>
      <c r="J13" s="25">
        <v>4000</v>
      </c>
      <c r="K13" s="29">
        <v>0</v>
      </c>
      <c r="L13" s="25">
        <v>0</v>
      </c>
      <c r="M13" s="27">
        <f>'10-03-2026'!J65</f>
        <v>1569774</v>
      </c>
      <c r="N13" s="29">
        <v>0</v>
      </c>
      <c r="O13" s="25">
        <v>61090</v>
      </c>
    </row>
    <row r="14" spans="1:16" x14ac:dyDescent="0.35">
      <c r="C14" s="37" t="s">
        <v>23</v>
      </c>
      <c r="D14" s="38" t="s">
        <v>26</v>
      </c>
      <c r="E14" s="39" t="s">
        <v>97</v>
      </c>
      <c r="F14" s="27">
        <v>49290</v>
      </c>
      <c r="G14" s="27">
        <v>0</v>
      </c>
      <c r="H14" s="28">
        <f t="shared" si="3"/>
        <v>49290</v>
      </c>
      <c r="I14" s="28">
        <f t="shared" si="4"/>
        <v>0</v>
      </c>
      <c r="J14" s="25">
        <v>49290</v>
      </c>
      <c r="K14" s="29">
        <v>0</v>
      </c>
      <c r="L14" s="25">
        <v>0</v>
      </c>
      <c r="M14" s="27">
        <f>'10-03-2026'!J66</f>
        <v>482869</v>
      </c>
      <c r="N14" s="29">
        <v>0</v>
      </c>
      <c r="O14" s="25">
        <v>0</v>
      </c>
    </row>
    <row r="15" spans="1:16" x14ac:dyDescent="0.35">
      <c r="C15" s="37" t="s">
        <v>23</v>
      </c>
      <c r="D15" s="38" t="s">
        <v>20</v>
      </c>
      <c r="E15" s="39" t="s">
        <v>97</v>
      </c>
      <c r="F15" s="27">
        <v>15151</v>
      </c>
      <c r="G15" s="27">
        <v>0</v>
      </c>
      <c r="H15" s="28">
        <f t="shared" si="3"/>
        <v>15151</v>
      </c>
      <c r="I15" s="28">
        <f t="shared" si="4"/>
        <v>0</v>
      </c>
      <c r="J15" s="25">
        <v>15151</v>
      </c>
      <c r="K15" s="29">
        <v>0</v>
      </c>
      <c r="L15" s="25">
        <v>0</v>
      </c>
      <c r="M15" s="27">
        <f>'10-03-2026'!J67</f>
        <v>8160</v>
      </c>
      <c r="N15" s="29">
        <v>0</v>
      </c>
      <c r="O15" s="25">
        <v>0</v>
      </c>
    </row>
    <row r="16" spans="1:16" x14ac:dyDescent="0.35">
      <c r="C16" s="37" t="s">
        <v>23</v>
      </c>
      <c r="D16" s="38" t="s">
        <v>18</v>
      </c>
      <c r="E16" s="39" t="s">
        <v>97</v>
      </c>
      <c r="F16" s="27">
        <v>0</v>
      </c>
      <c r="G16" s="27">
        <v>0</v>
      </c>
      <c r="H16" s="28">
        <f t="shared" si="3"/>
        <v>0</v>
      </c>
      <c r="I16" s="28">
        <f t="shared" si="4"/>
        <v>0</v>
      </c>
      <c r="J16" s="25">
        <v>0</v>
      </c>
      <c r="K16" s="29">
        <v>0</v>
      </c>
      <c r="L16" s="25">
        <v>0</v>
      </c>
      <c r="M16" s="27">
        <v>0</v>
      </c>
      <c r="N16" s="29">
        <v>0</v>
      </c>
      <c r="O16" s="25">
        <v>0</v>
      </c>
    </row>
    <row r="17" spans="3:15" x14ac:dyDescent="0.35">
      <c r="C17" s="37" t="s">
        <v>23</v>
      </c>
      <c r="D17" s="40"/>
      <c r="E17" s="40"/>
      <c r="F17" s="31">
        <f>SUM(F12:F16)</f>
        <v>554127</v>
      </c>
      <c r="G17" s="31">
        <f>SUM(G12:G16)</f>
        <v>0</v>
      </c>
      <c r="H17" s="31">
        <f>SUM(H12:H15)</f>
        <v>554127</v>
      </c>
      <c r="I17" s="31">
        <f>SUM(I12:I15)</f>
        <v>485686</v>
      </c>
      <c r="J17" s="31">
        <f>SUM(J12:J16)</f>
        <v>68441</v>
      </c>
      <c r="K17" s="31">
        <f>SUM(K12:K15)</f>
        <v>0</v>
      </c>
      <c r="L17" s="31">
        <f>SUM(L12:L15)</f>
        <v>0</v>
      </c>
      <c r="M17" s="31">
        <f>SUM(M12:M16)</f>
        <v>2582885</v>
      </c>
      <c r="N17" s="31">
        <f>SUM(N12:N15)</f>
        <v>0</v>
      </c>
      <c r="O17" s="31">
        <f>SUM(O12:O16)</f>
        <v>118187</v>
      </c>
    </row>
    <row r="18" spans="3:15" x14ac:dyDescent="0.35">
      <c r="C18" s="37" t="s">
        <v>27</v>
      </c>
      <c r="D18" s="38" t="s">
        <v>25</v>
      </c>
      <c r="E18" s="39" t="s">
        <v>16</v>
      </c>
      <c r="F18" s="27">
        <v>0</v>
      </c>
      <c r="G18" s="27">
        <v>0</v>
      </c>
      <c r="H18" s="28">
        <f t="shared" si="3"/>
        <v>0</v>
      </c>
      <c r="I18" s="28">
        <f t="shared" si="4"/>
        <v>0</v>
      </c>
      <c r="J18" s="25">
        <v>0</v>
      </c>
      <c r="K18" s="29">
        <v>0</v>
      </c>
      <c r="L18" s="25">
        <v>0</v>
      </c>
      <c r="M18" s="27">
        <f>'10-03-2026'!J68</f>
        <v>51257</v>
      </c>
      <c r="N18" s="29">
        <v>0</v>
      </c>
      <c r="O18" s="25">
        <v>0</v>
      </c>
    </row>
    <row r="19" spans="3:15" x14ac:dyDescent="0.35">
      <c r="C19" s="40"/>
      <c r="D19" s="40"/>
      <c r="E19" s="40"/>
      <c r="F19" s="31">
        <f>SUM(F18)</f>
        <v>0</v>
      </c>
      <c r="G19" s="31">
        <f t="shared" ref="G19:O19" si="5">SUM(G18)</f>
        <v>0</v>
      </c>
      <c r="H19" s="31">
        <f t="shared" si="5"/>
        <v>0</v>
      </c>
      <c r="I19" s="31">
        <f t="shared" si="5"/>
        <v>0</v>
      </c>
      <c r="J19" s="31">
        <f t="shared" si="5"/>
        <v>0</v>
      </c>
      <c r="K19" s="31">
        <f t="shared" si="5"/>
        <v>0</v>
      </c>
      <c r="L19" s="31">
        <f t="shared" si="5"/>
        <v>0</v>
      </c>
      <c r="M19" s="31">
        <f t="shared" si="5"/>
        <v>51257</v>
      </c>
      <c r="N19" s="31">
        <f t="shared" si="5"/>
        <v>0</v>
      </c>
      <c r="O19" s="31">
        <f t="shared" si="5"/>
        <v>0</v>
      </c>
    </row>
    <row r="20" spans="3:15" x14ac:dyDescent="0.35">
      <c r="C20" s="37" t="s">
        <v>28</v>
      </c>
      <c r="D20" s="38" t="s">
        <v>29</v>
      </c>
      <c r="E20" s="39" t="s">
        <v>16</v>
      </c>
      <c r="F20" s="27">
        <v>0</v>
      </c>
      <c r="G20" s="27">
        <v>0</v>
      </c>
      <c r="H20" s="28">
        <f t="shared" si="3"/>
        <v>0</v>
      </c>
      <c r="I20" s="28">
        <f t="shared" si="4"/>
        <v>0</v>
      </c>
      <c r="J20" s="25">
        <v>0</v>
      </c>
      <c r="K20" s="29">
        <v>0</v>
      </c>
      <c r="L20" s="25">
        <v>0</v>
      </c>
      <c r="M20" s="27">
        <f>'10-03-2026'!J79</f>
        <v>33969</v>
      </c>
      <c r="N20" s="29">
        <v>0</v>
      </c>
      <c r="O20" s="25">
        <v>0</v>
      </c>
    </row>
    <row r="21" spans="3:15" x14ac:dyDescent="0.35">
      <c r="C21" s="37" t="s">
        <v>28</v>
      </c>
      <c r="D21" s="38" t="s">
        <v>25</v>
      </c>
      <c r="E21" s="39" t="s">
        <v>84</v>
      </c>
      <c r="F21" s="27">
        <v>0</v>
      </c>
      <c r="G21" s="27">
        <v>0</v>
      </c>
      <c r="H21" s="28">
        <f t="shared" si="3"/>
        <v>0</v>
      </c>
      <c r="I21" s="28">
        <f t="shared" si="4"/>
        <v>0</v>
      </c>
      <c r="J21" s="25">
        <v>0</v>
      </c>
      <c r="K21" s="29">
        <v>0</v>
      </c>
      <c r="L21" s="25">
        <v>0</v>
      </c>
      <c r="M21" s="27">
        <f>'10-03-2026'!J80</f>
        <v>166366</v>
      </c>
      <c r="N21" s="29">
        <v>0</v>
      </c>
      <c r="O21" s="25">
        <v>0</v>
      </c>
    </row>
    <row r="22" spans="3:15" x14ac:dyDescent="0.35">
      <c r="C22" s="40" t="s">
        <v>22</v>
      </c>
      <c r="D22" s="40"/>
      <c r="E22" s="40"/>
      <c r="F22" s="31">
        <f t="shared" ref="F22:L22" si="6">SUM(F20:F21)</f>
        <v>0</v>
      </c>
      <c r="G22" s="31">
        <f t="shared" si="6"/>
        <v>0</v>
      </c>
      <c r="H22" s="31">
        <f t="shared" si="6"/>
        <v>0</v>
      </c>
      <c r="I22" s="31">
        <f t="shared" si="6"/>
        <v>0</v>
      </c>
      <c r="J22" s="31">
        <f t="shared" si="6"/>
        <v>0</v>
      </c>
      <c r="K22" s="31">
        <f>SUM(K20:K21)</f>
        <v>0</v>
      </c>
      <c r="L22" s="31">
        <f t="shared" si="6"/>
        <v>0</v>
      </c>
      <c r="M22" s="31">
        <f>SUM(F22:L22)</f>
        <v>0</v>
      </c>
      <c r="N22" s="31">
        <f t="shared" ref="N22:O22" si="7">SUM(N20:N21)</f>
        <v>0</v>
      </c>
      <c r="O22" s="31">
        <f t="shared" si="7"/>
        <v>0</v>
      </c>
    </row>
    <row r="23" spans="3:15" x14ac:dyDescent="0.35">
      <c r="C23" s="37" t="s">
        <v>30</v>
      </c>
      <c r="D23" s="38" t="s">
        <v>29</v>
      </c>
      <c r="E23" s="39" t="s">
        <v>16</v>
      </c>
      <c r="F23" s="32">
        <v>0</v>
      </c>
      <c r="G23" s="32">
        <v>0</v>
      </c>
      <c r="H23" s="28">
        <f t="shared" si="3"/>
        <v>0</v>
      </c>
      <c r="I23" s="28">
        <f t="shared" si="4"/>
        <v>0</v>
      </c>
      <c r="J23" s="33">
        <v>0</v>
      </c>
      <c r="K23" s="34">
        <v>0</v>
      </c>
      <c r="L23" s="33">
        <v>0</v>
      </c>
      <c r="M23" s="32">
        <f>'10-03-2026'!J83</f>
        <v>89658</v>
      </c>
      <c r="N23" s="34">
        <v>0</v>
      </c>
      <c r="O23" s="33">
        <v>0</v>
      </c>
    </row>
    <row r="24" spans="3:15" x14ac:dyDescent="0.35">
      <c r="C24" s="37" t="s">
        <v>30</v>
      </c>
      <c r="D24" s="38" t="s">
        <v>31</v>
      </c>
      <c r="E24" s="39" t="s">
        <v>16</v>
      </c>
      <c r="F24" s="32">
        <v>0</v>
      </c>
      <c r="G24" s="32">
        <v>0</v>
      </c>
      <c r="H24" s="28">
        <f t="shared" si="3"/>
        <v>0</v>
      </c>
      <c r="I24" s="28">
        <f t="shared" si="4"/>
        <v>0</v>
      </c>
      <c r="J24" s="33">
        <v>0</v>
      </c>
      <c r="K24" s="34">
        <v>0</v>
      </c>
      <c r="L24" s="33">
        <v>0</v>
      </c>
      <c r="M24" s="32">
        <f>'10-03-2026'!J84</f>
        <v>17000</v>
      </c>
      <c r="N24" s="34">
        <v>0</v>
      </c>
      <c r="O24" s="33">
        <v>0</v>
      </c>
    </row>
    <row r="25" spans="3:15" x14ac:dyDescent="0.35">
      <c r="C25" s="40" t="s">
        <v>22</v>
      </c>
      <c r="D25" s="40"/>
      <c r="E25" s="40"/>
      <c r="F25" s="31">
        <f>SUM(F23:F24)</f>
        <v>0</v>
      </c>
      <c r="G25" s="31">
        <f t="shared" ref="G25:O25" si="8">SUM(G23:G24)</f>
        <v>0</v>
      </c>
      <c r="H25" s="31">
        <f t="shared" si="8"/>
        <v>0</v>
      </c>
      <c r="I25" s="31">
        <f t="shared" si="8"/>
        <v>0</v>
      </c>
      <c r="J25" s="31">
        <f t="shared" si="8"/>
        <v>0</v>
      </c>
      <c r="K25" s="31">
        <f t="shared" si="8"/>
        <v>0</v>
      </c>
      <c r="L25" s="31">
        <f t="shared" si="8"/>
        <v>0</v>
      </c>
      <c r="M25" s="31">
        <f t="shared" si="8"/>
        <v>106658</v>
      </c>
      <c r="N25" s="31">
        <f t="shared" si="8"/>
        <v>0</v>
      </c>
      <c r="O25" s="31">
        <f t="shared" si="8"/>
        <v>0</v>
      </c>
    </row>
    <row r="26" spans="3:15" x14ac:dyDescent="0.35">
      <c r="C26" s="37" t="s">
        <v>32</v>
      </c>
      <c r="D26" s="38" t="s">
        <v>33</v>
      </c>
      <c r="E26" s="39" t="s">
        <v>97</v>
      </c>
      <c r="F26" s="35">
        <v>31048</v>
      </c>
      <c r="G26" s="27">
        <v>0</v>
      </c>
      <c r="H26" s="28">
        <f t="shared" si="3"/>
        <v>31048</v>
      </c>
      <c r="I26" s="28">
        <f t="shared" si="4"/>
        <v>31048</v>
      </c>
      <c r="J26" s="25">
        <v>0</v>
      </c>
      <c r="K26" s="29">
        <v>0</v>
      </c>
      <c r="L26" s="25">
        <v>0</v>
      </c>
      <c r="M26" s="27">
        <f>'10-03-2026'!J71</f>
        <v>1471406</v>
      </c>
      <c r="N26" s="29">
        <v>0</v>
      </c>
      <c r="O26" s="25">
        <v>61311</v>
      </c>
    </row>
    <row r="27" spans="3:15" x14ac:dyDescent="0.35">
      <c r="C27" s="37" t="s">
        <v>32</v>
      </c>
      <c r="D27" s="38" t="s">
        <v>31</v>
      </c>
      <c r="E27" s="39" t="s">
        <v>16</v>
      </c>
      <c r="F27" s="35">
        <v>0</v>
      </c>
      <c r="G27" s="27">
        <v>0</v>
      </c>
      <c r="H27" s="28">
        <f t="shared" si="3"/>
        <v>0</v>
      </c>
      <c r="I27" s="28">
        <f t="shared" si="4"/>
        <v>0</v>
      </c>
      <c r="J27" s="25">
        <v>0</v>
      </c>
      <c r="K27" s="29">
        <v>0</v>
      </c>
      <c r="L27" s="25">
        <v>0</v>
      </c>
      <c r="M27" s="27">
        <f>'10-03-2026'!J72</f>
        <v>174473</v>
      </c>
      <c r="N27" s="29">
        <v>0</v>
      </c>
      <c r="O27" s="25">
        <v>0</v>
      </c>
    </row>
    <row r="28" spans="3:15" x14ac:dyDescent="0.35">
      <c r="C28" s="37" t="s">
        <v>32</v>
      </c>
      <c r="D28" s="38" t="s">
        <v>26</v>
      </c>
      <c r="E28" s="39" t="s">
        <v>16</v>
      </c>
      <c r="F28" s="35">
        <v>0</v>
      </c>
      <c r="G28" s="27">
        <v>0</v>
      </c>
      <c r="H28" s="28">
        <f t="shared" si="3"/>
        <v>0</v>
      </c>
      <c r="I28" s="28">
        <f t="shared" si="4"/>
        <v>0</v>
      </c>
      <c r="J28" s="25">
        <v>0</v>
      </c>
      <c r="K28" s="29">
        <v>0</v>
      </c>
      <c r="L28" s="25">
        <v>0</v>
      </c>
      <c r="M28" s="27">
        <f>'10-03-2026'!J73</f>
        <v>35126</v>
      </c>
      <c r="N28" s="29">
        <v>0</v>
      </c>
      <c r="O28" s="25">
        <v>0</v>
      </c>
    </row>
    <row r="29" spans="3:15" x14ac:dyDescent="0.35">
      <c r="C29" s="37" t="s">
        <v>32</v>
      </c>
      <c r="D29" s="38" t="s">
        <v>34</v>
      </c>
      <c r="E29" s="39" t="s">
        <v>86</v>
      </c>
      <c r="F29" s="35">
        <v>86636</v>
      </c>
      <c r="G29" s="27">
        <v>4352</v>
      </c>
      <c r="H29" s="28">
        <f t="shared" si="3"/>
        <v>82284</v>
      </c>
      <c r="I29" s="28">
        <f t="shared" si="4"/>
        <v>71437</v>
      </c>
      <c r="J29" s="25">
        <v>10847</v>
      </c>
      <c r="K29" s="29">
        <v>0</v>
      </c>
      <c r="L29" s="25">
        <v>0</v>
      </c>
      <c r="M29" s="27">
        <f>'10-03-2026'!J74</f>
        <v>1427733</v>
      </c>
      <c r="N29" s="29">
        <v>0</v>
      </c>
      <c r="O29" s="25">
        <v>59287</v>
      </c>
    </row>
    <row r="30" spans="3:15" x14ac:dyDescent="0.35">
      <c r="C30" s="40" t="s">
        <v>22</v>
      </c>
      <c r="D30" s="40"/>
      <c r="E30" s="40"/>
      <c r="F30" s="31">
        <f t="shared" ref="F30:O30" si="9">SUM(F26:F29)</f>
        <v>117684</v>
      </c>
      <c r="G30" s="31">
        <f t="shared" si="9"/>
        <v>4352</v>
      </c>
      <c r="H30" s="31">
        <f t="shared" si="9"/>
        <v>113332</v>
      </c>
      <c r="I30" s="31">
        <f t="shared" si="9"/>
        <v>102485</v>
      </c>
      <c r="J30" s="31">
        <f t="shared" si="9"/>
        <v>10847</v>
      </c>
      <c r="K30" s="31">
        <f t="shared" si="9"/>
        <v>0</v>
      </c>
      <c r="L30" s="31">
        <f t="shared" si="9"/>
        <v>0</v>
      </c>
      <c r="M30" s="31">
        <f t="shared" si="9"/>
        <v>3108738</v>
      </c>
      <c r="N30" s="31">
        <f t="shared" si="9"/>
        <v>0</v>
      </c>
      <c r="O30" s="31">
        <f t="shared" si="9"/>
        <v>120598</v>
      </c>
    </row>
    <row r="31" spans="3:15" x14ac:dyDescent="0.35">
      <c r="C31" s="41" t="s">
        <v>35</v>
      </c>
      <c r="D31" s="41"/>
      <c r="E31" s="41"/>
      <c r="F31" s="36">
        <f t="shared" ref="F31:O31" si="10">F30+F25+F22+F19+F17+F11</f>
        <v>1294572</v>
      </c>
      <c r="G31" s="36">
        <f t="shared" si="10"/>
        <v>6324</v>
      </c>
      <c r="H31" s="36">
        <f t="shared" si="10"/>
        <v>1288248</v>
      </c>
      <c r="I31" s="36">
        <f t="shared" si="10"/>
        <v>1076626</v>
      </c>
      <c r="J31" s="36">
        <f t="shared" si="10"/>
        <v>211622</v>
      </c>
      <c r="K31" s="36">
        <f t="shared" si="10"/>
        <v>0</v>
      </c>
      <c r="L31" s="36">
        <f t="shared" si="10"/>
        <v>0</v>
      </c>
      <c r="M31" s="36">
        <f t="shared" si="10"/>
        <v>14234943</v>
      </c>
      <c r="N31" s="36">
        <f t="shared" si="10"/>
        <v>290</v>
      </c>
      <c r="O31" s="36">
        <f t="shared" si="10"/>
        <v>443036</v>
      </c>
    </row>
    <row r="32" spans="3:15" x14ac:dyDescent="0.35">
      <c r="F32" s="49" t="s">
        <v>36</v>
      </c>
      <c r="G32" s="25">
        <f>O11+L11+J11-K11</f>
        <v>336585</v>
      </c>
      <c r="H32" s="200"/>
      <c r="I32" s="201"/>
      <c r="J32" s="50"/>
      <c r="K32" s="51"/>
      <c r="L32" s="51"/>
    </row>
    <row r="33" spans="3:15" x14ac:dyDescent="0.35">
      <c r="F33" s="52" t="s">
        <v>37</v>
      </c>
      <c r="G33" s="25">
        <f>O17+L17+J17-K17+O19+L19+J19-K19</f>
        <v>186628</v>
      </c>
      <c r="H33" s="53"/>
      <c r="I33" s="54" t="s">
        <v>89</v>
      </c>
      <c r="J33" s="54" t="s">
        <v>90</v>
      </c>
      <c r="K33" s="192" t="s">
        <v>88</v>
      </c>
      <c r="L33" s="193"/>
      <c r="M33" s="202" t="s">
        <v>87</v>
      </c>
      <c r="N33" s="203"/>
      <c r="O33" s="204"/>
    </row>
    <row r="34" spans="3:15" x14ac:dyDescent="0.35">
      <c r="C34" s="205" t="s">
        <v>68</v>
      </c>
      <c r="D34" s="206"/>
      <c r="F34" s="55" t="s">
        <v>38</v>
      </c>
      <c r="G34" s="25">
        <f>O22+L22+J22-K22</f>
        <v>0</v>
      </c>
      <c r="H34" s="53"/>
      <c r="I34" s="54"/>
      <c r="J34" s="57"/>
      <c r="K34" s="192"/>
      <c r="L34" s="193"/>
      <c r="M34" s="59"/>
      <c r="N34" s="58"/>
      <c r="O34" s="60"/>
    </row>
    <row r="35" spans="3:15" x14ac:dyDescent="0.35">
      <c r="C35" s="61"/>
      <c r="D35" s="61"/>
      <c r="F35" s="62" t="s">
        <v>30</v>
      </c>
      <c r="G35" s="25">
        <f>O25+L25+J25-K25</f>
        <v>0</v>
      </c>
      <c r="H35" s="53"/>
      <c r="I35" s="56"/>
      <c r="J35" s="57"/>
      <c r="K35" s="192"/>
      <c r="L35" s="193"/>
      <c r="M35" s="59"/>
      <c r="N35" s="58"/>
      <c r="O35" s="60"/>
    </row>
    <row r="36" spans="3:15" x14ac:dyDescent="0.35">
      <c r="C36" s="61"/>
      <c r="D36" s="61"/>
      <c r="F36" s="49" t="s">
        <v>39</v>
      </c>
      <c r="G36" s="25">
        <f>O30+L30+J30-K30</f>
        <v>131445</v>
      </c>
      <c r="H36" s="53"/>
      <c r="I36" s="56"/>
      <c r="J36" s="57"/>
      <c r="K36" s="192"/>
      <c r="L36" s="193"/>
      <c r="M36" s="59"/>
      <c r="N36" s="58"/>
      <c r="O36" s="60"/>
    </row>
    <row r="37" spans="3:15" x14ac:dyDescent="0.35">
      <c r="C37" s="61"/>
      <c r="D37" s="61"/>
      <c r="F37" s="63" t="s">
        <v>40</v>
      </c>
      <c r="G37" s="26">
        <f>SUM(G32:G36)</f>
        <v>654658</v>
      </c>
      <c r="I37" s="61"/>
      <c r="J37" s="57"/>
      <c r="K37" s="192"/>
      <c r="L37" s="193"/>
      <c r="M37" s="59"/>
      <c r="N37" s="58"/>
      <c r="O37" s="60"/>
    </row>
    <row r="38" spans="3:15" x14ac:dyDescent="0.35">
      <c r="C38" s="61"/>
      <c r="D38" s="61"/>
      <c r="F38" s="64"/>
      <c r="G38" s="65"/>
      <c r="I38" s="61"/>
      <c r="J38" s="57"/>
      <c r="K38" s="192"/>
      <c r="L38" s="193"/>
      <c r="M38" s="59"/>
      <c r="N38" s="58"/>
      <c r="O38" s="60"/>
    </row>
    <row r="39" spans="3:15" x14ac:dyDescent="0.35">
      <c r="C39" s="61"/>
      <c r="D39" s="61"/>
      <c r="F39" s="64"/>
      <c r="G39" s="65"/>
      <c r="I39" s="61"/>
      <c r="J39" s="57"/>
      <c r="K39" s="58"/>
      <c r="L39" s="58"/>
      <c r="M39" s="59"/>
      <c r="N39" s="58"/>
      <c r="O39" s="60"/>
    </row>
    <row r="40" spans="3:15" x14ac:dyDescent="0.35">
      <c r="C40" s="61"/>
      <c r="D40" s="61"/>
      <c r="F40" s="64"/>
      <c r="G40" s="65"/>
      <c r="I40" s="61"/>
      <c r="J40" s="57"/>
      <c r="K40" s="58"/>
      <c r="L40" s="58"/>
      <c r="M40" s="59"/>
      <c r="N40" s="58"/>
      <c r="O40" s="60"/>
    </row>
    <row r="41" spans="3:15" x14ac:dyDescent="0.35">
      <c r="C41" s="61"/>
      <c r="D41" s="61"/>
      <c r="F41" s="64"/>
      <c r="G41" s="65"/>
      <c r="I41" s="61"/>
      <c r="J41" s="57"/>
      <c r="K41" s="58"/>
      <c r="L41" s="58"/>
      <c r="M41" s="59"/>
      <c r="N41" s="58"/>
      <c r="O41" s="60"/>
    </row>
    <row r="42" spans="3:15" x14ac:dyDescent="0.35">
      <c r="C42" s="61"/>
      <c r="D42" s="61"/>
      <c r="F42" s="64"/>
      <c r="G42" s="65"/>
      <c r="I42" s="61"/>
      <c r="J42" s="57"/>
      <c r="K42" s="191"/>
      <c r="L42" s="193"/>
      <c r="M42" s="191"/>
      <c r="N42" s="192"/>
      <c r="O42" s="193"/>
    </row>
    <row r="43" spans="3:15" x14ac:dyDescent="0.35">
      <c r="C43" s="61"/>
      <c r="D43" s="61"/>
      <c r="F43" s="64"/>
      <c r="G43" s="65"/>
      <c r="I43" s="61"/>
      <c r="J43" s="54"/>
      <c r="K43" s="191"/>
      <c r="L43" s="193"/>
      <c r="M43" s="191"/>
      <c r="N43" s="192"/>
      <c r="O43" s="193"/>
    </row>
    <row r="44" spans="3:15" x14ac:dyDescent="0.35">
      <c r="C44" s="61"/>
      <c r="D44" s="61"/>
      <c r="F44" s="64"/>
      <c r="G44" s="65"/>
      <c r="I44" s="61"/>
      <c r="J44" s="54"/>
      <c r="K44" s="191"/>
      <c r="L44" s="193"/>
      <c r="M44" s="191"/>
      <c r="N44" s="192"/>
      <c r="O44" s="193"/>
    </row>
    <row r="45" spans="3:15" x14ac:dyDescent="0.35">
      <c r="C45" s="61"/>
      <c r="D45" s="61"/>
      <c r="F45" s="64"/>
      <c r="G45" s="65"/>
      <c r="I45" s="61"/>
      <c r="J45" s="54"/>
      <c r="K45" s="191"/>
      <c r="L45" s="193"/>
      <c r="M45" s="191"/>
      <c r="N45" s="192"/>
      <c r="O45" s="193"/>
    </row>
    <row r="46" spans="3:15" x14ac:dyDescent="0.35">
      <c r="C46" s="61"/>
      <c r="D46" s="61"/>
      <c r="F46" s="64"/>
      <c r="G46" s="65"/>
      <c r="I46" s="61"/>
      <c r="J46" s="54"/>
      <c r="K46" s="191"/>
      <c r="L46" s="193"/>
      <c r="M46" s="191"/>
      <c r="N46" s="192"/>
      <c r="O46" s="193"/>
    </row>
    <row r="47" spans="3:15" x14ac:dyDescent="0.35">
      <c r="H47" s="209" t="s">
        <v>41</v>
      </c>
      <c r="I47" s="209"/>
      <c r="J47" s="209"/>
      <c r="K47" s="210"/>
      <c r="L47" s="46"/>
      <c r="M47" s="66"/>
    </row>
    <row r="48" spans="3:15" x14ac:dyDescent="0.35">
      <c r="H48" s="67" t="s">
        <v>42</v>
      </c>
      <c r="I48" s="67" t="s">
        <v>43</v>
      </c>
      <c r="J48" s="67" t="s">
        <v>44</v>
      </c>
      <c r="K48" s="210"/>
      <c r="L48" s="66"/>
    </row>
    <row r="49" spans="3:14" x14ac:dyDescent="0.35">
      <c r="F49" s="68"/>
      <c r="H49" s="42" t="s">
        <v>14</v>
      </c>
      <c r="I49" s="42" t="s">
        <v>15</v>
      </c>
      <c r="J49" s="68">
        <f>M5-O5-N5-L5+I5</f>
        <v>318526</v>
      </c>
      <c r="K49" s="69">
        <v>318526</v>
      </c>
      <c r="L49" s="70">
        <f>J49-K49</f>
        <v>0</v>
      </c>
      <c r="M49" s="68"/>
    </row>
    <row r="50" spans="3:14" x14ac:dyDescent="0.35">
      <c r="C50" s="211">
        <v>45931</v>
      </c>
      <c r="D50" s="211"/>
      <c r="E50" s="211"/>
      <c r="H50" s="42" t="s">
        <v>14</v>
      </c>
      <c r="I50" s="42" t="s">
        <v>17</v>
      </c>
      <c r="J50" s="68">
        <f>M6-O6-N6-L6+I6+G50</f>
        <v>3500290</v>
      </c>
      <c r="K50" s="69">
        <v>3500289</v>
      </c>
      <c r="L50" s="70">
        <f t="shared" ref="L50:L61" si="11">J50-K50</f>
        <v>1</v>
      </c>
      <c r="M50" s="68"/>
    </row>
    <row r="51" spans="3:14" x14ac:dyDescent="0.35">
      <c r="C51" s="212" t="s">
        <v>63</v>
      </c>
      <c r="D51" s="212"/>
      <c r="E51" s="212"/>
      <c r="H51" s="42" t="s">
        <v>14</v>
      </c>
      <c r="I51" s="42" t="s">
        <v>18</v>
      </c>
      <c r="J51" s="68">
        <f>M7-O7-N7-L7+I7+G51</f>
        <v>1693450</v>
      </c>
      <c r="K51" s="69">
        <v>1696451</v>
      </c>
      <c r="L51" s="70">
        <f t="shared" si="11"/>
        <v>-3001</v>
      </c>
      <c r="M51" s="68"/>
    </row>
    <row r="52" spans="3:14" x14ac:dyDescent="0.35">
      <c r="C52" s="61" t="s">
        <v>64</v>
      </c>
      <c r="D52" s="213">
        <f>'Opening Balance FEB 2026'!J4</f>
        <v>1308640</v>
      </c>
      <c r="E52" s="214"/>
      <c r="H52" s="42" t="s">
        <v>14</v>
      </c>
      <c r="I52" s="42" t="s">
        <v>19</v>
      </c>
      <c r="J52" s="68">
        <f>M8-O8-N8-L8+I8+G52</f>
        <v>1121755</v>
      </c>
      <c r="K52" s="69">
        <v>1121787</v>
      </c>
      <c r="L52" s="70">
        <f t="shared" si="11"/>
        <v>-32</v>
      </c>
      <c r="M52" s="68"/>
    </row>
    <row r="53" spans="3:14" x14ac:dyDescent="0.35">
      <c r="C53" s="61" t="s">
        <v>65</v>
      </c>
      <c r="D53" s="213">
        <f>G37</f>
        <v>654658</v>
      </c>
      <c r="E53" s="214"/>
      <c r="H53" s="42" t="s">
        <v>14</v>
      </c>
      <c r="I53" s="42" t="s">
        <v>20</v>
      </c>
      <c r="J53" s="68">
        <f>M9-O9-N9-L9+I9+G53</f>
        <v>1306938</v>
      </c>
      <c r="K53" s="69">
        <v>1306938</v>
      </c>
      <c r="L53" s="70">
        <f t="shared" si="11"/>
        <v>0</v>
      </c>
      <c r="M53" s="68"/>
    </row>
    <row r="54" spans="3:14" x14ac:dyDescent="0.35">
      <c r="C54" s="71" t="s">
        <v>45</v>
      </c>
      <c r="D54" s="215">
        <f>D52+D53</f>
        <v>1963298</v>
      </c>
      <c r="E54" s="216"/>
      <c r="H54" s="42" t="s">
        <v>14</v>
      </c>
      <c r="I54" s="42" t="s">
        <v>21</v>
      </c>
      <c r="J54" s="68">
        <f>M10-O10-N10-L10+I10+G54</f>
        <v>728360</v>
      </c>
      <c r="K54" s="69">
        <v>728361</v>
      </c>
      <c r="L54" s="70">
        <f t="shared" si="11"/>
        <v>-1</v>
      </c>
    </row>
    <row r="55" spans="3:14" x14ac:dyDescent="0.35">
      <c r="C55" s="61" t="s">
        <v>66</v>
      </c>
      <c r="D55" s="207">
        <v>0</v>
      </c>
      <c r="E55" s="208"/>
      <c r="H55" s="72" t="s">
        <v>45</v>
      </c>
      <c r="I55" s="72"/>
      <c r="J55" s="73">
        <f>SUM(J49:J54)</f>
        <v>8669319</v>
      </c>
      <c r="K55" s="74">
        <v>8672319</v>
      </c>
      <c r="L55" s="70">
        <f t="shared" si="11"/>
        <v>-3000</v>
      </c>
    </row>
    <row r="56" spans="3:14" x14ac:dyDescent="0.35">
      <c r="C56" s="61" t="s">
        <v>78</v>
      </c>
      <c r="D56" s="207">
        <v>0</v>
      </c>
      <c r="E56" s="208"/>
      <c r="H56" s="72"/>
      <c r="I56" s="72"/>
      <c r="J56" s="73"/>
      <c r="K56" s="75"/>
      <c r="L56" s="70"/>
    </row>
    <row r="57" spans="3:14" x14ac:dyDescent="0.35">
      <c r="C57" s="61" t="s">
        <v>75</v>
      </c>
      <c r="D57" s="207">
        <v>10000</v>
      </c>
      <c r="E57" s="208"/>
      <c r="H57" s="67" t="s">
        <v>42</v>
      </c>
      <c r="I57" s="67" t="s">
        <v>43</v>
      </c>
      <c r="J57" s="67" t="s">
        <v>44</v>
      </c>
      <c r="K57" s="66"/>
      <c r="L57" s="70"/>
    </row>
    <row r="58" spans="3:14" x14ac:dyDescent="0.35">
      <c r="C58" s="76" t="s">
        <v>83</v>
      </c>
      <c r="D58" s="217">
        <f>SUM(D55:E57)</f>
        <v>10000</v>
      </c>
      <c r="E58" s="218"/>
      <c r="H58" s="42" t="s">
        <v>46</v>
      </c>
      <c r="I58" s="42" t="s">
        <v>48</v>
      </c>
      <c r="J58" s="68">
        <f>M12-O12-N12-L12+I12</f>
        <v>464985</v>
      </c>
      <c r="K58" s="69">
        <v>464985</v>
      </c>
      <c r="L58" s="70">
        <f t="shared" si="11"/>
        <v>0</v>
      </c>
    </row>
    <row r="59" spans="3:14" x14ac:dyDescent="0.35">
      <c r="C59" s="77" t="s">
        <v>67</v>
      </c>
      <c r="D59" s="219">
        <f>D54-D55-D57-D56</f>
        <v>1953298</v>
      </c>
      <c r="E59" s="220"/>
      <c r="H59" s="42" t="s">
        <v>46</v>
      </c>
      <c r="I59" s="42" t="s">
        <v>47</v>
      </c>
      <c r="J59" s="68">
        <f>M13-O13-N13-L13+I13</f>
        <v>1994370</v>
      </c>
      <c r="K59" s="69">
        <v>2039370</v>
      </c>
      <c r="L59" s="70">
        <f t="shared" si="11"/>
        <v>-45000</v>
      </c>
      <c r="N59" s="68"/>
    </row>
    <row r="60" spans="3:14" x14ac:dyDescent="0.35">
      <c r="C60" s="78" t="s">
        <v>68</v>
      </c>
      <c r="D60" s="221"/>
      <c r="E60" s="222"/>
      <c r="H60" s="42" t="s">
        <v>46</v>
      </c>
      <c r="I60" s="42" t="s">
        <v>15</v>
      </c>
      <c r="J60" s="68">
        <f>M14-O14-N14-L14+I14</f>
        <v>482869</v>
      </c>
      <c r="K60" s="69">
        <v>482869</v>
      </c>
      <c r="L60" s="70">
        <f t="shared" si="11"/>
        <v>0</v>
      </c>
      <c r="M60" s="68"/>
      <c r="N60" s="68"/>
    </row>
    <row r="61" spans="3:14" x14ac:dyDescent="0.35">
      <c r="C61" s="61" t="s">
        <v>14</v>
      </c>
      <c r="D61" s="213">
        <v>0</v>
      </c>
      <c r="E61" s="214"/>
      <c r="H61" s="42" t="s">
        <v>46</v>
      </c>
      <c r="I61" s="42" t="s">
        <v>20</v>
      </c>
      <c r="J61" s="68">
        <v>8160</v>
      </c>
      <c r="K61" s="69">
        <v>8160</v>
      </c>
      <c r="L61" s="70">
        <f t="shared" si="11"/>
        <v>0</v>
      </c>
    </row>
    <row r="62" spans="3:14" x14ac:dyDescent="0.35">
      <c r="C62" s="61" t="s">
        <v>72</v>
      </c>
      <c r="D62" s="213">
        <v>0</v>
      </c>
      <c r="E62" s="214"/>
      <c r="H62" s="42" t="s">
        <v>27</v>
      </c>
      <c r="I62" s="42" t="s">
        <v>47</v>
      </c>
      <c r="J62" s="68">
        <f>M18-O18-N18-L18+I18</f>
        <v>51257</v>
      </c>
      <c r="K62" s="69">
        <v>51257</v>
      </c>
      <c r="L62" s="70">
        <f>J62-K62</f>
        <v>0</v>
      </c>
    </row>
    <row r="63" spans="3:14" x14ac:dyDescent="0.35">
      <c r="C63" s="61" t="s">
        <v>69</v>
      </c>
      <c r="D63" s="213">
        <v>0</v>
      </c>
      <c r="E63" s="214"/>
      <c r="H63" s="72" t="s">
        <v>45</v>
      </c>
      <c r="I63" s="72"/>
      <c r="J63" s="73">
        <f>SUM(J58:J62)</f>
        <v>3001641</v>
      </c>
      <c r="K63" s="69">
        <f>SUM(K58:K62)</f>
        <v>3046641</v>
      </c>
      <c r="L63" s="70">
        <f>J63-K63</f>
        <v>-45000</v>
      </c>
    </row>
    <row r="64" spans="3:14" x14ac:dyDescent="0.35">
      <c r="C64" s="61" t="s">
        <v>70</v>
      </c>
      <c r="D64" s="213">
        <v>0</v>
      </c>
      <c r="E64" s="214"/>
      <c r="F64" s="68"/>
      <c r="H64" s="67" t="s">
        <v>42</v>
      </c>
      <c r="I64" s="67" t="s">
        <v>43</v>
      </c>
      <c r="J64" s="67" t="s">
        <v>44</v>
      </c>
    </row>
    <row r="65" spans="3:14" x14ac:dyDescent="0.35">
      <c r="C65" s="61" t="s">
        <v>71</v>
      </c>
      <c r="D65" s="213">
        <v>0</v>
      </c>
      <c r="E65" s="214"/>
      <c r="F65" s="79"/>
      <c r="G65" s="80"/>
      <c r="H65" s="42" t="s">
        <v>49</v>
      </c>
      <c r="I65" s="42" t="s">
        <v>51</v>
      </c>
      <c r="J65" s="68">
        <f>M26-O26-N26-L26+I26</f>
        <v>1441143</v>
      </c>
      <c r="K65" s="69">
        <v>1386528</v>
      </c>
      <c r="L65" s="70">
        <f t="shared" ref="L65:L71" si="12">J65-K65</f>
        <v>54615</v>
      </c>
      <c r="N65" s="68"/>
    </row>
    <row r="66" spans="3:14" x14ac:dyDescent="0.35">
      <c r="C66" s="77" t="s">
        <v>73</v>
      </c>
      <c r="D66" s="219">
        <f>SUM(D61:D65)</f>
        <v>0</v>
      </c>
      <c r="E66" s="220"/>
      <c r="F66" s="68"/>
      <c r="H66" s="42" t="s">
        <v>49</v>
      </c>
      <c r="I66" s="42" t="s">
        <v>18</v>
      </c>
      <c r="J66" s="68">
        <f>M27-O27-N27-L27+I27</f>
        <v>174473</v>
      </c>
      <c r="K66" s="69">
        <v>174473</v>
      </c>
      <c r="L66" s="70">
        <f t="shared" si="12"/>
        <v>0</v>
      </c>
    </row>
    <row r="67" spans="3:14" x14ac:dyDescent="0.35">
      <c r="C67" s="81" t="s">
        <v>74</v>
      </c>
      <c r="D67" s="223">
        <f>D59-D66</f>
        <v>1953298</v>
      </c>
      <c r="E67" s="224"/>
      <c r="F67" s="68"/>
      <c r="H67" s="42" t="s">
        <v>49</v>
      </c>
      <c r="I67" s="42" t="s">
        <v>15</v>
      </c>
      <c r="J67" s="68">
        <f>M28-O28-N28-L28+I28</f>
        <v>35126</v>
      </c>
      <c r="K67" s="69">
        <v>35126</v>
      </c>
      <c r="L67" s="70">
        <f t="shared" si="12"/>
        <v>0</v>
      </c>
    </row>
    <row r="68" spans="3:14" x14ac:dyDescent="0.35">
      <c r="C68" s="61"/>
      <c r="D68" s="213">
        <v>3102990</v>
      </c>
      <c r="E68" s="214"/>
      <c r="H68" s="42" t="s">
        <v>49</v>
      </c>
      <c r="I68" s="42" t="s">
        <v>50</v>
      </c>
      <c r="J68" s="68">
        <f>M29-O29-N29-L29+I29+G68</f>
        <v>1439883</v>
      </c>
      <c r="K68" s="69">
        <v>1439883</v>
      </c>
      <c r="L68" s="70">
        <f t="shared" si="12"/>
        <v>0</v>
      </c>
    </row>
    <row r="69" spans="3:14" x14ac:dyDescent="0.35">
      <c r="C69" s="61"/>
      <c r="D69" s="213">
        <f>D67-D68</f>
        <v>-1149692</v>
      </c>
      <c r="E69" s="214"/>
      <c r="H69" s="42" t="s">
        <v>49</v>
      </c>
      <c r="I69" s="42" t="s">
        <v>20</v>
      </c>
      <c r="J69" s="68">
        <f>'Opening Balance FEB 2026'!F24</f>
        <v>66046</v>
      </c>
      <c r="K69" s="69">
        <v>96296</v>
      </c>
      <c r="L69" s="70">
        <f t="shared" si="12"/>
        <v>-30250</v>
      </c>
    </row>
    <row r="70" spans="3:14" x14ac:dyDescent="0.35">
      <c r="H70" s="42" t="s">
        <v>49</v>
      </c>
      <c r="I70" s="42" t="s">
        <v>47</v>
      </c>
      <c r="J70" s="68">
        <f>'Opening Balance FEB 2026'!F25</f>
        <v>23570</v>
      </c>
      <c r="K70" s="69">
        <v>23570</v>
      </c>
      <c r="L70" s="70">
        <f t="shared" si="12"/>
        <v>0</v>
      </c>
    </row>
    <row r="71" spans="3:14" x14ac:dyDescent="0.35">
      <c r="H71" s="72" t="s">
        <v>45</v>
      </c>
      <c r="I71" s="72"/>
      <c r="J71" s="73">
        <f>SUM(J65:J70)</f>
        <v>3180241</v>
      </c>
      <c r="K71" s="69">
        <v>3150876</v>
      </c>
      <c r="L71" s="70">
        <f t="shared" si="12"/>
        <v>29365</v>
      </c>
      <c r="N71" s="68"/>
    </row>
    <row r="72" spans="3:14" x14ac:dyDescent="0.35">
      <c r="H72" s="67" t="s">
        <v>42</v>
      </c>
      <c r="I72" s="67" t="s">
        <v>43</v>
      </c>
      <c r="J72" s="67" t="s">
        <v>44</v>
      </c>
    </row>
    <row r="73" spans="3:14" x14ac:dyDescent="0.35">
      <c r="H73" s="42" t="s">
        <v>52</v>
      </c>
      <c r="I73" s="42" t="s">
        <v>53</v>
      </c>
      <c r="J73" s="68">
        <f>M20-O20-N20-L20+I20-G72</f>
        <v>33969</v>
      </c>
      <c r="K73" s="68">
        <v>33969</v>
      </c>
      <c r="L73" s="70">
        <f>J73-K73</f>
        <v>0</v>
      </c>
    </row>
    <row r="74" spans="3:14" x14ac:dyDescent="0.35">
      <c r="H74" s="42" t="s">
        <v>52</v>
      </c>
      <c r="I74" s="42" t="s">
        <v>47</v>
      </c>
      <c r="J74" s="68">
        <v>166366</v>
      </c>
      <c r="K74" s="82">
        <v>166366</v>
      </c>
      <c r="L74" s="70">
        <f>J74-K74</f>
        <v>0</v>
      </c>
    </row>
    <row r="75" spans="3:14" x14ac:dyDescent="0.35">
      <c r="H75" s="72" t="s">
        <v>45</v>
      </c>
      <c r="I75" s="72"/>
      <c r="J75" s="73">
        <f>SUM(J73:J74)</f>
        <v>200335</v>
      </c>
      <c r="K75" s="68">
        <v>160846</v>
      </c>
      <c r="L75" s="70">
        <f>J75-K75</f>
        <v>39489</v>
      </c>
    </row>
    <row r="76" spans="3:14" x14ac:dyDescent="0.35">
      <c r="G76" s="42">
        <v>0</v>
      </c>
      <c r="H76" s="67" t="s">
        <v>42</v>
      </c>
      <c r="I76" s="67" t="s">
        <v>43</v>
      </c>
      <c r="J76" s="67" t="s">
        <v>44</v>
      </c>
      <c r="K76" s="69">
        <v>0</v>
      </c>
      <c r="L76" s="70"/>
    </row>
    <row r="77" spans="3:14" x14ac:dyDescent="0.35">
      <c r="H77" s="42" t="s">
        <v>54</v>
      </c>
      <c r="I77" s="42" t="s">
        <v>53</v>
      </c>
      <c r="J77" s="68">
        <f>M23-O23-N23-L23+I23-G76</f>
        <v>89658</v>
      </c>
      <c r="K77" s="69">
        <v>89658</v>
      </c>
      <c r="L77" s="70">
        <f>J77-K77</f>
        <v>0</v>
      </c>
    </row>
    <row r="78" spans="3:14" x14ac:dyDescent="0.35">
      <c r="H78" s="42" t="s">
        <v>54</v>
      </c>
      <c r="I78" s="42" t="s">
        <v>18</v>
      </c>
      <c r="J78" s="68">
        <f>M24-O24-N24-L24+I24</f>
        <v>17000</v>
      </c>
      <c r="K78" s="69">
        <v>67000</v>
      </c>
      <c r="L78" s="70">
        <f>J78-K78</f>
        <v>-50000</v>
      </c>
    </row>
    <row r="79" spans="3:14" x14ac:dyDescent="0.35">
      <c r="H79" s="72" t="s">
        <v>45</v>
      </c>
      <c r="I79" s="72"/>
      <c r="J79" s="73">
        <f>SUM(J77:J78)</f>
        <v>106658</v>
      </c>
      <c r="K79" s="68">
        <f>SUM(K76:K78)</f>
        <v>156658</v>
      </c>
      <c r="L79" s="70">
        <f>J79-K79</f>
        <v>-50000</v>
      </c>
    </row>
    <row r="80" spans="3:14" x14ac:dyDescent="0.35">
      <c r="H80" s="67" t="s">
        <v>42</v>
      </c>
      <c r="I80" s="67" t="s">
        <v>43</v>
      </c>
      <c r="J80" s="67" t="s">
        <v>44</v>
      </c>
      <c r="K80" s="69">
        <v>0</v>
      </c>
      <c r="L80" s="70"/>
    </row>
    <row r="81" spans="4:12" x14ac:dyDescent="0.35">
      <c r="H81" s="42" t="s">
        <v>55</v>
      </c>
      <c r="I81" s="42" t="s">
        <v>56</v>
      </c>
      <c r="J81" s="68">
        <f>'Opening Balance FEB 2026'!F36</f>
        <v>103541</v>
      </c>
      <c r="K81" s="69">
        <v>103541</v>
      </c>
      <c r="L81" s="70">
        <f>J81-K81</f>
        <v>0</v>
      </c>
    </row>
    <row r="82" spans="4:12" x14ac:dyDescent="0.35">
      <c r="H82" s="42" t="s">
        <v>55</v>
      </c>
      <c r="I82" s="42" t="s">
        <v>47</v>
      </c>
      <c r="J82" s="68">
        <f>'Opening Balance FEB 2026'!F37</f>
        <v>6013</v>
      </c>
      <c r="K82" s="69">
        <v>6013</v>
      </c>
      <c r="L82" s="70">
        <f>J82-K82</f>
        <v>0</v>
      </c>
    </row>
    <row r="83" spans="4:12" x14ac:dyDescent="0.35">
      <c r="H83" s="72" t="s">
        <v>45</v>
      </c>
      <c r="I83" s="72"/>
      <c r="J83" s="73">
        <v>109554</v>
      </c>
      <c r="K83" s="68">
        <f>SUM(K80:K82)</f>
        <v>109554</v>
      </c>
      <c r="L83" s="70">
        <f>J83-K83</f>
        <v>0</v>
      </c>
    </row>
    <row r="84" spans="4:12" x14ac:dyDescent="0.35">
      <c r="H84" s="67" t="s">
        <v>42</v>
      </c>
      <c r="I84" s="67" t="s">
        <v>43</v>
      </c>
      <c r="J84" s="67" t="s">
        <v>44</v>
      </c>
      <c r="K84" s="69">
        <v>0</v>
      </c>
      <c r="L84" s="70"/>
    </row>
    <row r="85" spans="4:12" x14ac:dyDescent="0.35">
      <c r="H85" s="42" t="s">
        <v>57</v>
      </c>
      <c r="I85" s="42" t="s">
        <v>47</v>
      </c>
      <c r="J85" s="68">
        <f>'Opening Balance FEB 2026'!F40</f>
        <v>16440</v>
      </c>
      <c r="K85" s="69">
        <v>16440</v>
      </c>
      <c r="L85" s="70">
        <f>J85-K85</f>
        <v>0</v>
      </c>
    </row>
    <row r="86" spans="4:12" x14ac:dyDescent="0.35">
      <c r="H86" s="72" t="s">
        <v>45</v>
      </c>
      <c r="I86" s="72"/>
      <c r="J86" s="73">
        <v>16440</v>
      </c>
      <c r="K86" s="69">
        <f>SUM(K84:K85)</f>
        <v>16440</v>
      </c>
    </row>
    <row r="87" spans="4:12" x14ac:dyDescent="0.35">
      <c r="J87" s="68"/>
    </row>
    <row r="88" spans="4:12" x14ac:dyDescent="0.35">
      <c r="H88" s="83" t="s">
        <v>58</v>
      </c>
      <c r="I88" s="83"/>
      <c r="J88" s="84">
        <f>J86+J83+J79+J75+J71+J63+J55</f>
        <v>15284188</v>
      </c>
    </row>
    <row r="90" spans="4:12" x14ac:dyDescent="0.35">
      <c r="D90" s="85" t="s">
        <v>82</v>
      </c>
      <c r="E90" s="85"/>
      <c r="F90" s="85"/>
      <c r="G90" s="85"/>
      <c r="H90" s="85"/>
    </row>
    <row r="91" spans="4:12" x14ac:dyDescent="0.35">
      <c r="D91" s="78" t="s">
        <v>42</v>
      </c>
      <c r="E91" s="78" t="s">
        <v>43</v>
      </c>
      <c r="F91" s="78" t="s">
        <v>79</v>
      </c>
      <c r="G91" s="78" t="s">
        <v>80</v>
      </c>
      <c r="H91" s="78" t="s">
        <v>81</v>
      </c>
    </row>
    <row r="92" spans="4:12" x14ac:dyDescent="0.35">
      <c r="D92" s="61" t="s">
        <v>14</v>
      </c>
      <c r="E92" s="61" t="s">
        <v>15</v>
      </c>
      <c r="F92" s="86">
        <f>H5</f>
        <v>74159</v>
      </c>
      <c r="G92" s="86">
        <f t="shared" ref="G92:G97" si="13">O5</f>
        <v>0</v>
      </c>
      <c r="H92" s="86">
        <f t="shared" ref="H92:H97" si="14">I5</f>
        <v>38765</v>
      </c>
    </row>
    <row r="93" spans="4:12" x14ac:dyDescent="0.35">
      <c r="D93" s="61" t="s">
        <v>14</v>
      </c>
      <c r="E93" s="61" t="s">
        <v>17</v>
      </c>
      <c r="F93" s="86">
        <f>H6</f>
        <v>0</v>
      </c>
      <c r="G93" s="86">
        <f t="shared" si="13"/>
        <v>0</v>
      </c>
      <c r="H93" s="86">
        <f t="shared" si="14"/>
        <v>0</v>
      </c>
    </row>
    <row r="94" spans="4:12" x14ac:dyDescent="0.35">
      <c r="D94" s="61" t="s">
        <v>14</v>
      </c>
      <c r="E94" s="61" t="s">
        <v>18</v>
      </c>
      <c r="F94" s="86">
        <f>H7</f>
        <v>210643</v>
      </c>
      <c r="G94" s="86">
        <f t="shared" si="13"/>
        <v>80558</v>
      </c>
      <c r="H94" s="86">
        <f t="shared" si="14"/>
        <v>191056</v>
      </c>
    </row>
    <row r="95" spans="4:12" x14ac:dyDescent="0.35">
      <c r="D95" s="61" t="s">
        <v>14</v>
      </c>
      <c r="E95" s="61" t="s">
        <v>19</v>
      </c>
      <c r="F95" s="86">
        <f>H8</f>
        <v>121281</v>
      </c>
      <c r="G95" s="86">
        <f t="shared" si="13"/>
        <v>41113</v>
      </c>
      <c r="H95" s="86">
        <f t="shared" si="14"/>
        <v>117349</v>
      </c>
    </row>
    <row r="96" spans="4:12" x14ac:dyDescent="0.35">
      <c r="D96" s="61" t="s">
        <v>14</v>
      </c>
      <c r="E96" s="61" t="s">
        <v>20</v>
      </c>
      <c r="F96" s="86">
        <f>H9</f>
        <v>101959</v>
      </c>
      <c r="G96" s="86">
        <f t="shared" si="13"/>
        <v>33455</v>
      </c>
      <c r="H96" s="86">
        <f t="shared" si="14"/>
        <v>46299</v>
      </c>
    </row>
    <row r="97" spans="4:8" x14ac:dyDescent="0.35">
      <c r="D97" s="61" t="s">
        <v>14</v>
      </c>
      <c r="E97" s="61" t="s">
        <v>21</v>
      </c>
      <c r="F97" s="86" t="e">
        <f>H10+#REF!</f>
        <v>#REF!</v>
      </c>
      <c r="G97" s="86">
        <f t="shared" si="13"/>
        <v>49125</v>
      </c>
      <c r="H97" s="86">
        <f t="shared" si="14"/>
        <v>94986</v>
      </c>
    </row>
    <row r="98" spans="4:8" x14ac:dyDescent="0.35">
      <c r="D98" s="87" t="s">
        <v>45</v>
      </c>
      <c r="E98" s="87"/>
      <c r="F98" s="88" t="e">
        <f>SUM(F92:F97)</f>
        <v>#REF!</v>
      </c>
      <c r="G98" s="88">
        <f t="shared" ref="G98" si="15">SUM(G92:G97)</f>
        <v>204251</v>
      </c>
      <c r="H98" s="88">
        <f>SUM(H92:H97)</f>
        <v>488455</v>
      </c>
    </row>
    <row r="99" spans="4:8" x14ac:dyDescent="0.35">
      <c r="D99" s="78" t="s">
        <v>42</v>
      </c>
      <c r="E99" s="78" t="s">
        <v>43</v>
      </c>
      <c r="F99" s="89" t="s">
        <v>79</v>
      </c>
      <c r="G99" s="89" t="s">
        <v>80</v>
      </c>
      <c r="H99" s="89" t="s">
        <v>81</v>
      </c>
    </row>
    <row r="100" spans="4:8" x14ac:dyDescent="0.35">
      <c r="D100" s="61" t="s">
        <v>46</v>
      </c>
      <c r="E100" s="61" t="s">
        <v>48</v>
      </c>
      <c r="F100" s="86">
        <f>H12</f>
        <v>0</v>
      </c>
      <c r="G100" s="86">
        <f>O12</f>
        <v>57097</v>
      </c>
      <c r="H100" s="86">
        <f>I12</f>
        <v>0</v>
      </c>
    </row>
    <row r="101" spans="4:8" x14ac:dyDescent="0.35">
      <c r="D101" s="61" t="s">
        <v>46</v>
      </c>
      <c r="E101" s="61" t="s">
        <v>47</v>
      </c>
      <c r="F101" s="86">
        <f>H13</f>
        <v>489686</v>
      </c>
      <c r="G101" s="86">
        <f>O13</f>
        <v>61090</v>
      </c>
      <c r="H101" s="86">
        <f>I13</f>
        <v>485686</v>
      </c>
    </row>
    <row r="102" spans="4:8" x14ac:dyDescent="0.35">
      <c r="D102" s="61" t="s">
        <v>27</v>
      </c>
      <c r="E102" s="61" t="s">
        <v>47</v>
      </c>
      <c r="F102" s="86">
        <v>0</v>
      </c>
      <c r="G102" s="86">
        <v>0</v>
      </c>
      <c r="H102" s="86">
        <v>0</v>
      </c>
    </row>
    <row r="103" spans="4:8" x14ac:dyDescent="0.35">
      <c r="D103" s="87" t="s">
        <v>45</v>
      </c>
      <c r="E103" s="87"/>
      <c r="F103" s="88">
        <f>SUM(F100:F102)</f>
        <v>489686</v>
      </c>
      <c r="G103" s="88">
        <f>SUM(G100:G102)</f>
        <v>118187</v>
      </c>
      <c r="H103" s="88">
        <f>SUM(H100:H102)</f>
        <v>485686</v>
      </c>
    </row>
    <row r="104" spans="4:8" x14ac:dyDescent="0.35">
      <c r="D104" s="78" t="s">
        <v>42</v>
      </c>
      <c r="E104" s="78" t="s">
        <v>43</v>
      </c>
      <c r="F104" s="89" t="s">
        <v>79</v>
      </c>
      <c r="G104" s="89" t="s">
        <v>80</v>
      </c>
      <c r="H104" s="89" t="s">
        <v>81</v>
      </c>
    </row>
    <row r="105" spans="4:8" x14ac:dyDescent="0.35">
      <c r="D105" s="61" t="s">
        <v>49</v>
      </c>
      <c r="E105" s="61" t="s">
        <v>51</v>
      </c>
      <c r="F105" s="86" t="e">
        <f>#REF!</f>
        <v>#REF!</v>
      </c>
      <c r="G105" s="86" t="e">
        <f>#REF!</f>
        <v>#REF!</v>
      </c>
      <c r="H105" s="86" t="e">
        <f>#REF!</f>
        <v>#REF!</v>
      </c>
    </row>
    <row r="106" spans="4:8" x14ac:dyDescent="0.35">
      <c r="D106" s="61" t="s">
        <v>49</v>
      </c>
      <c r="E106" s="61" t="s">
        <v>18</v>
      </c>
      <c r="F106" s="86">
        <f>H27</f>
        <v>0</v>
      </c>
      <c r="G106" s="86">
        <f>O27</f>
        <v>0</v>
      </c>
      <c r="H106" s="86">
        <v>0</v>
      </c>
    </row>
    <row r="107" spans="4:8" x14ac:dyDescent="0.35">
      <c r="D107" s="61" t="s">
        <v>49</v>
      </c>
      <c r="E107" s="61" t="s">
        <v>50</v>
      </c>
      <c r="F107" s="86" t="e">
        <f>#REF!+#REF!</f>
        <v>#REF!</v>
      </c>
      <c r="G107" s="86" t="e">
        <f>#REF!</f>
        <v>#REF!</v>
      </c>
      <c r="H107" s="86" t="e">
        <f>#REF!+#REF!</f>
        <v>#REF!</v>
      </c>
    </row>
    <row r="108" spans="4:8" x14ac:dyDescent="0.35">
      <c r="D108" s="87" t="s">
        <v>45</v>
      </c>
      <c r="E108" s="87"/>
      <c r="F108" s="88" t="e">
        <f>SUM(F105:F107)</f>
        <v>#REF!</v>
      </c>
      <c r="G108" s="88" t="e">
        <f>SUM(G105:G107)</f>
        <v>#REF!</v>
      </c>
      <c r="H108" s="88" t="e">
        <f>SUM(H105:H107)</f>
        <v>#REF!</v>
      </c>
    </row>
    <row r="109" spans="4:8" x14ac:dyDescent="0.35">
      <c r="D109" s="78" t="s">
        <v>42</v>
      </c>
      <c r="E109" s="78" t="s">
        <v>43</v>
      </c>
      <c r="F109" s="89" t="s">
        <v>79</v>
      </c>
      <c r="G109" s="89" t="s">
        <v>80</v>
      </c>
      <c r="H109" s="89" t="s">
        <v>81</v>
      </c>
    </row>
    <row r="110" spans="4:8" x14ac:dyDescent="0.35">
      <c r="D110" s="61" t="s">
        <v>52</v>
      </c>
      <c r="E110" s="61" t="s">
        <v>53</v>
      </c>
      <c r="F110" s="86">
        <f>H20</f>
        <v>0</v>
      </c>
      <c r="G110" s="86">
        <f>O20</f>
        <v>0</v>
      </c>
      <c r="H110" s="86">
        <f>I20</f>
        <v>0</v>
      </c>
    </row>
    <row r="111" spans="4:8" x14ac:dyDescent="0.35">
      <c r="D111" s="87" t="s">
        <v>45</v>
      </c>
      <c r="E111" s="87"/>
      <c r="F111" s="88">
        <f>SUM(F110)</f>
        <v>0</v>
      </c>
      <c r="G111" s="88">
        <f t="shared" ref="G111" si="16">SUM(G110)</f>
        <v>0</v>
      </c>
      <c r="H111" s="88">
        <f>SUM(H110)</f>
        <v>0</v>
      </c>
    </row>
    <row r="112" spans="4:8" x14ac:dyDescent="0.35">
      <c r="D112" s="78" t="s">
        <v>42</v>
      </c>
      <c r="E112" s="78" t="s">
        <v>43</v>
      </c>
      <c r="F112" s="89" t="s">
        <v>79</v>
      </c>
      <c r="G112" s="89" t="s">
        <v>80</v>
      </c>
      <c r="H112" s="89" t="s">
        <v>81</v>
      </c>
    </row>
    <row r="113" spans="4:8" x14ac:dyDescent="0.35">
      <c r="D113" s="61" t="s">
        <v>54</v>
      </c>
      <c r="E113" s="61" t="s">
        <v>53</v>
      </c>
      <c r="F113" s="86">
        <f>H23</f>
        <v>0</v>
      </c>
      <c r="G113" s="86">
        <f>O23</f>
        <v>0</v>
      </c>
      <c r="H113" s="86">
        <f>I23</f>
        <v>0</v>
      </c>
    </row>
    <row r="114" spans="4:8" x14ac:dyDescent="0.35">
      <c r="D114" s="61" t="s">
        <v>54</v>
      </c>
      <c r="E114" s="61" t="s">
        <v>18</v>
      </c>
      <c r="F114" s="86">
        <f>H24</f>
        <v>0</v>
      </c>
      <c r="G114" s="86">
        <f>O24</f>
        <v>0</v>
      </c>
      <c r="H114" s="86">
        <f>I24</f>
        <v>0</v>
      </c>
    </row>
    <row r="115" spans="4:8" x14ac:dyDescent="0.35">
      <c r="D115" s="87" t="s">
        <v>45</v>
      </c>
      <c r="E115" s="87"/>
      <c r="F115" s="88">
        <f>SUM(F113:F114)</f>
        <v>0</v>
      </c>
      <c r="G115" s="88">
        <f t="shared" ref="G115" si="17">SUM(G113:G114)</f>
        <v>0</v>
      </c>
      <c r="H115" s="88">
        <f>SUM(H113:H114)</f>
        <v>0</v>
      </c>
    </row>
    <row r="116" spans="4:8" x14ac:dyDescent="0.35">
      <c r="D116" s="90"/>
      <c r="E116" s="90"/>
      <c r="F116" s="91" t="e">
        <f>F115+F111+F108+F103+F98</f>
        <v>#REF!</v>
      </c>
      <c r="G116" s="91" t="e">
        <f t="shared" ref="G116" si="18">G115+G111+G108+G103+G98</f>
        <v>#REF!</v>
      </c>
      <c r="H116" s="91" t="e">
        <f>H115+H111+H108+H103+H98</f>
        <v>#REF!</v>
      </c>
    </row>
  </sheetData>
  <mergeCells count="43">
    <mergeCell ref="D69:E69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57:E57"/>
    <mergeCell ref="K46:L46"/>
    <mergeCell ref="M46:O46"/>
    <mergeCell ref="H47:J47"/>
    <mergeCell ref="K47:K48"/>
    <mergeCell ref="C50:E50"/>
    <mergeCell ref="C51:E51"/>
    <mergeCell ref="D52:E52"/>
    <mergeCell ref="D53:E53"/>
    <mergeCell ref="D54:E54"/>
    <mergeCell ref="D55:E55"/>
    <mergeCell ref="D56:E56"/>
    <mergeCell ref="K43:L43"/>
    <mergeCell ref="M43:O43"/>
    <mergeCell ref="K44:L44"/>
    <mergeCell ref="M44:O44"/>
    <mergeCell ref="K45:L45"/>
    <mergeCell ref="M45:O45"/>
    <mergeCell ref="M42:O42"/>
    <mergeCell ref="C2:O2"/>
    <mergeCell ref="C3:O3"/>
    <mergeCell ref="H32:I32"/>
    <mergeCell ref="K33:L33"/>
    <mergeCell ref="M33:O33"/>
    <mergeCell ref="C34:D34"/>
    <mergeCell ref="K34:L34"/>
    <mergeCell ref="K35:L35"/>
    <mergeCell ref="K36:L36"/>
    <mergeCell ref="K37:L37"/>
    <mergeCell ref="K38:L38"/>
    <mergeCell ref="K42:L42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20"/>
  <sheetViews>
    <sheetView zoomScale="57" zoomScaleNormal="57" workbookViewId="0">
      <selection activeCell="K64" sqref="K64"/>
    </sheetView>
  </sheetViews>
  <sheetFormatPr defaultRowHeight="21" x14ac:dyDescent="0.35"/>
  <cols>
    <col min="1" max="1" width="5.5703125" style="42" customWidth="1"/>
    <col min="2" max="2" width="0.140625" style="42" hidden="1" customWidth="1"/>
    <col min="3" max="3" width="20.85546875" style="42" customWidth="1"/>
    <col min="4" max="4" width="26.42578125" style="42" customWidth="1"/>
    <col min="5" max="5" width="18.140625" style="42" customWidth="1"/>
    <col min="6" max="6" width="32.28515625" style="42" bestFit="1" customWidth="1"/>
    <col min="7" max="7" width="21" style="42" customWidth="1"/>
    <col min="8" max="8" width="22.85546875" style="42" customWidth="1"/>
    <col min="9" max="9" width="23.5703125" style="42" customWidth="1"/>
    <col min="10" max="10" width="21.42578125" style="42" customWidth="1"/>
    <col min="11" max="11" width="21.28515625" style="42" customWidth="1"/>
    <col min="12" max="12" width="22.5703125" style="42" customWidth="1"/>
    <col min="13" max="13" width="26.42578125" style="42" customWidth="1"/>
    <col min="14" max="14" width="17.5703125" style="42" customWidth="1"/>
    <col min="15" max="15" width="22" style="42" customWidth="1"/>
    <col min="16" max="16" width="7.5703125" style="42" customWidth="1"/>
    <col min="17" max="17" width="14.28515625" style="42" bestFit="1" customWidth="1"/>
    <col min="18" max="18" width="11.42578125" style="42" customWidth="1"/>
    <col min="19" max="16384" width="9.140625" style="42"/>
  </cols>
  <sheetData>
    <row r="2" spans="1:16" x14ac:dyDescent="0.35">
      <c r="C2" s="194">
        <v>46093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6"/>
    </row>
    <row r="3" spans="1:16" x14ac:dyDescent="0.35">
      <c r="C3" s="197" t="s">
        <v>0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6" ht="63" x14ac:dyDescent="0.35">
      <c r="A4" s="103"/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  <c r="J4" s="40" t="s">
        <v>8</v>
      </c>
      <c r="K4" s="43" t="s">
        <v>9</v>
      </c>
      <c r="L4" s="43" t="s">
        <v>10</v>
      </c>
      <c r="M4" s="44" t="s">
        <v>11</v>
      </c>
      <c r="N4" s="45" t="s">
        <v>12</v>
      </c>
      <c r="O4" s="40" t="s">
        <v>13</v>
      </c>
    </row>
    <row r="5" spans="1:16" x14ac:dyDescent="0.35">
      <c r="A5" s="46"/>
      <c r="C5" s="37" t="s">
        <v>14</v>
      </c>
      <c r="D5" s="38" t="s">
        <v>15</v>
      </c>
      <c r="E5" s="39" t="s">
        <v>95</v>
      </c>
      <c r="F5" s="27">
        <v>66719</v>
      </c>
      <c r="G5" s="27">
        <v>0</v>
      </c>
      <c r="H5" s="28">
        <f>F5-G5</f>
        <v>66719</v>
      </c>
      <c r="I5" s="28">
        <f>H5-J5</f>
        <v>62349</v>
      </c>
      <c r="J5" s="25">
        <v>4370</v>
      </c>
      <c r="K5" s="29">
        <v>0</v>
      </c>
      <c r="L5" s="25">
        <v>0</v>
      </c>
      <c r="M5" s="27">
        <f>'11-03-2026'!J49</f>
        <v>318526</v>
      </c>
      <c r="N5" s="29">
        <v>0</v>
      </c>
      <c r="O5" s="30">
        <v>0</v>
      </c>
      <c r="P5" s="47"/>
    </row>
    <row r="6" spans="1:16" x14ac:dyDescent="0.35">
      <c r="A6" s="46"/>
      <c r="C6" s="37" t="s">
        <v>14</v>
      </c>
      <c r="D6" s="38" t="s">
        <v>17</v>
      </c>
      <c r="E6" s="39" t="s">
        <v>85</v>
      </c>
      <c r="F6" s="27">
        <v>0</v>
      </c>
      <c r="G6" s="27">
        <v>0</v>
      </c>
      <c r="H6" s="28">
        <f t="shared" ref="H6:H10" si="0">F6-G6</f>
        <v>0</v>
      </c>
      <c r="I6" s="28">
        <f t="shared" ref="I6:I10" si="1">H6-J6</f>
        <v>0</v>
      </c>
      <c r="J6" s="25">
        <v>0</v>
      </c>
      <c r="K6" s="29">
        <v>0</v>
      </c>
      <c r="L6" s="25">
        <v>0</v>
      </c>
      <c r="M6" s="27">
        <f>'11-03-2026'!J50</f>
        <v>3500290</v>
      </c>
      <c r="N6" s="29">
        <v>0</v>
      </c>
      <c r="O6" s="30">
        <v>0</v>
      </c>
    </row>
    <row r="7" spans="1:16" x14ac:dyDescent="0.35">
      <c r="A7" s="46"/>
      <c r="C7" s="37" t="s">
        <v>14</v>
      </c>
      <c r="D7" s="38" t="s">
        <v>18</v>
      </c>
      <c r="E7" s="39" t="s">
        <v>98</v>
      </c>
      <c r="F7" s="27">
        <v>250803</v>
      </c>
      <c r="G7" s="27">
        <v>0</v>
      </c>
      <c r="H7" s="28">
        <f t="shared" si="0"/>
        <v>250803</v>
      </c>
      <c r="I7" s="28">
        <f t="shared" si="1"/>
        <v>241803</v>
      </c>
      <c r="J7" s="25">
        <v>9000</v>
      </c>
      <c r="K7" s="29">
        <v>0</v>
      </c>
      <c r="L7" s="25">
        <v>0</v>
      </c>
      <c r="M7" s="27">
        <f>'11-03-2026'!J51</f>
        <v>1693450</v>
      </c>
      <c r="N7" s="29">
        <v>0</v>
      </c>
      <c r="O7" s="30">
        <v>40685</v>
      </c>
    </row>
    <row r="8" spans="1:16" x14ac:dyDescent="0.35">
      <c r="A8" s="46"/>
      <c r="C8" s="37" t="s">
        <v>14</v>
      </c>
      <c r="D8" s="38" t="s">
        <v>19</v>
      </c>
      <c r="E8" s="39" t="s">
        <v>95</v>
      </c>
      <c r="F8" s="27">
        <v>125333</v>
      </c>
      <c r="G8" s="27">
        <v>0</v>
      </c>
      <c r="H8" s="28">
        <f t="shared" si="0"/>
        <v>125333</v>
      </c>
      <c r="I8" s="28">
        <f t="shared" si="1"/>
        <v>123480</v>
      </c>
      <c r="J8" s="25">
        <v>1853</v>
      </c>
      <c r="K8" s="29">
        <v>0</v>
      </c>
      <c r="L8" s="25">
        <v>0</v>
      </c>
      <c r="M8" s="27">
        <f>'11-03-2026'!J52</f>
        <v>1121755</v>
      </c>
      <c r="N8" s="29">
        <v>0</v>
      </c>
      <c r="O8" s="30">
        <v>51819</v>
      </c>
    </row>
    <row r="9" spans="1:16" x14ac:dyDescent="0.35">
      <c r="A9" s="46"/>
      <c r="C9" s="37" t="s">
        <v>14</v>
      </c>
      <c r="D9" s="38" t="s">
        <v>20</v>
      </c>
      <c r="E9" s="39" t="s">
        <v>97</v>
      </c>
      <c r="F9" s="27">
        <v>82006</v>
      </c>
      <c r="G9" s="27">
        <v>0</v>
      </c>
      <c r="H9" s="28">
        <f t="shared" si="0"/>
        <v>82006</v>
      </c>
      <c r="I9" s="28">
        <f t="shared" si="1"/>
        <v>24609</v>
      </c>
      <c r="J9" s="25">
        <v>57397</v>
      </c>
      <c r="K9" s="29">
        <v>0</v>
      </c>
      <c r="L9" s="25">
        <v>0</v>
      </c>
      <c r="M9" s="27">
        <f>'11-03-2026'!J53</f>
        <v>1306938</v>
      </c>
      <c r="N9" s="29">
        <v>0</v>
      </c>
      <c r="O9" s="30">
        <v>24320</v>
      </c>
    </row>
    <row r="10" spans="1:16" x14ac:dyDescent="0.35">
      <c r="A10" s="46"/>
      <c r="C10" s="37" t="s">
        <v>14</v>
      </c>
      <c r="D10" s="38" t="s">
        <v>21</v>
      </c>
      <c r="E10" s="39" t="s">
        <v>86</v>
      </c>
      <c r="F10" s="27">
        <v>117190</v>
      </c>
      <c r="G10" s="27">
        <v>0</v>
      </c>
      <c r="H10" s="28">
        <f t="shared" si="0"/>
        <v>117190</v>
      </c>
      <c r="I10" s="28">
        <f t="shared" si="1"/>
        <v>81376</v>
      </c>
      <c r="J10" s="25">
        <v>35814</v>
      </c>
      <c r="K10" s="29">
        <v>0</v>
      </c>
      <c r="L10" s="25">
        <v>1000</v>
      </c>
      <c r="M10" s="27">
        <f>'11-03-2026'!J54</f>
        <v>728360</v>
      </c>
      <c r="N10" s="29">
        <v>0</v>
      </c>
      <c r="O10" s="30">
        <v>52049</v>
      </c>
    </row>
    <row r="11" spans="1:16" x14ac:dyDescent="0.35">
      <c r="A11" s="48"/>
      <c r="C11" s="40" t="s">
        <v>22</v>
      </c>
      <c r="D11" s="40"/>
      <c r="E11" s="40"/>
      <c r="F11" s="31">
        <f t="shared" ref="F11:O11" si="2">SUM(F5:F10)</f>
        <v>642051</v>
      </c>
      <c r="G11" s="31">
        <f t="shared" si="2"/>
        <v>0</v>
      </c>
      <c r="H11" s="31">
        <f t="shared" si="2"/>
        <v>642051</v>
      </c>
      <c r="I11" s="31">
        <f t="shared" si="2"/>
        <v>533617</v>
      </c>
      <c r="J11" s="31">
        <f t="shared" si="2"/>
        <v>108434</v>
      </c>
      <c r="K11" s="31">
        <f t="shared" si="2"/>
        <v>0</v>
      </c>
      <c r="L11" s="31">
        <f t="shared" si="2"/>
        <v>1000</v>
      </c>
      <c r="M11" s="31">
        <f>SUM(M5:M10)</f>
        <v>8669319</v>
      </c>
      <c r="N11" s="31">
        <f t="shared" si="2"/>
        <v>0</v>
      </c>
      <c r="O11" s="31">
        <f t="shared" si="2"/>
        <v>168873</v>
      </c>
    </row>
    <row r="12" spans="1:16" x14ac:dyDescent="0.35">
      <c r="C12" s="37" t="s">
        <v>23</v>
      </c>
      <c r="D12" s="38" t="s">
        <v>24</v>
      </c>
      <c r="E12" s="39" t="s">
        <v>85</v>
      </c>
      <c r="F12" s="27">
        <v>87166</v>
      </c>
      <c r="G12" s="27">
        <v>1126</v>
      </c>
      <c r="H12" s="28">
        <f t="shared" ref="H12:H33" si="3">F12-G12</f>
        <v>86040</v>
      </c>
      <c r="I12" s="28">
        <f t="shared" ref="I12:I33" si="4">H12-J12</f>
        <v>30747</v>
      </c>
      <c r="J12" s="25">
        <v>55293</v>
      </c>
      <c r="K12" s="29">
        <v>0</v>
      </c>
      <c r="L12" s="25">
        <v>0</v>
      </c>
      <c r="M12" s="27">
        <f>'11-03-2026'!J58</f>
        <v>464985</v>
      </c>
      <c r="N12" s="29">
        <v>0</v>
      </c>
      <c r="O12" s="25">
        <v>26563</v>
      </c>
    </row>
    <row r="13" spans="1:16" x14ac:dyDescent="0.35">
      <c r="C13" s="37" t="s">
        <v>23</v>
      </c>
      <c r="D13" s="38" t="s">
        <v>25</v>
      </c>
      <c r="E13" s="39" t="s">
        <v>85</v>
      </c>
      <c r="F13" s="27">
        <v>85621</v>
      </c>
      <c r="G13" s="27">
        <v>7960</v>
      </c>
      <c r="H13" s="28">
        <f t="shared" si="3"/>
        <v>77661</v>
      </c>
      <c r="I13" s="28">
        <f t="shared" si="4"/>
        <v>30614</v>
      </c>
      <c r="J13" s="25">
        <v>47047</v>
      </c>
      <c r="K13" s="29">
        <v>0</v>
      </c>
      <c r="L13" s="25">
        <v>0</v>
      </c>
      <c r="M13" s="27">
        <f>'11-03-2026'!J59</f>
        <v>1994370</v>
      </c>
      <c r="N13" s="29">
        <v>0</v>
      </c>
      <c r="O13" s="25">
        <v>379090</v>
      </c>
    </row>
    <row r="14" spans="1:16" x14ac:dyDescent="0.35">
      <c r="C14" s="37" t="s">
        <v>23</v>
      </c>
      <c r="D14" s="38" t="s">
        <v>25</v>
      </c>
      <c r="E14" s="39" t="s">
        <v>99</v>
      </c>
      <c r="F14" s="27">
        <v>2336</v>
      </c>
      <c r="G14" s="27">
        <v>0</v>
      </c>
      <c r="H14" s="28">
        <f t="shared" si="3"/>
        <v>2336</v>
      </c>
      <c r="I14" s="28">
        <f t="shared" si="4"/>
        <v>0</v>
      </c>
      <c r="J14" s="25">
        <v>2336</v>
      </c>
      <c r="K14" s="29">
        <v>0</v>
      </c>
      <c r="L14" s="25">
        <v>0</v>
      </c>
      <c r="M14" s="27">
        <v>0</v>
      </c>
      <c r="N14" s="29">
        <v>0</v>
      </c>
      <c r="O14" s="25">
        <v>0</v>
      </c>
    </row>
    <row r="15" spans="1:16" x14ac:dyDescent="0.35">
      <c r="C15" s="37" t="s">
        <v>23</v>
      </c>
      <c r="D15" s="38" t="s">
        <v>25</v>
      </c>
      <c r="E15" s="39" t="s">
        <v>50</v>
      </c>
      <c r="F15" s="27">
        <v>563</v>
      </c>
      <c r="G15" s="27">
        <v>0</v>
      </c>
      <c r="H15" s="28">
        <f t="shared" si="3"/>
        <v>563</v>
      </c>
      <c r="I15" s="28">
        <f t="shared" si="4"/>
        <v>0</v>
      </c>
      <c r="J15" s="25">
        <v>563</v>
      </c>
      <c r="K15" s="29">
        <v>0</v>
      </c>
      <c r="L15" s="25">
        <v>0</v>
      </c>
      <c r="M15" s="27">
        <v>0</v>
      </c>
      <c r="N15" s="29">
        <v>0</v>
      </c>
      <c r="O15" s="25">
        <v>0</v>
      </c>
    </row>
    <row r="16" spans="1:16" x14ac:dyDescent="0.35">
      <c r="C16" s="37" t="s">
        <v>23</v>
      </c>
      <c r="D16" s="38" t="s">
        <v>25</v>
      </c>
      <c r="E16" s="39" t="s">
        <v>84</v>
      </c>
      <c r="F16" s="27">
        <v>11467</v>
      </c>
      <c r="G16" s="27">
        <v>0</v>
      </c>
      <c r="H16" s="28">
        <f t="shared" si="3"/>
        <v>11467</v>
      </c>
      <c r="I16" s="28">
        <f t="shared" si="4"/>
        <v>11467</v>
      </c>
      <c r="J16" s="25">
        <v>0</v>
      </c>
      <c r="K16" s="29">
        <v>0</v>
      </c>
      <c r="L16" s="25">
        <v>0</v>
      </c>
      <c r="M16" s="27">
        <v>0</v>
      </c>
      <c r="N16" s="29">
        <v>0</v>
      </c>
      <c r="O16" s="25">
        <v>0</v>
      </c>
    </row>
    <row r="17" spans="3:15" x14ac:dyDescent="0.35">
      <c r="C17" s="37" t="s">
        <v>23</v>
      </c>
      <c r="D17" s="38" t="s">
        <v>26</v>
      </c>
      <c r="E17" s="39" t="s">
        <v>97</v>
      </c>
      <c r="F17" s="27">
        <v>0</v>
      </c>
      <c r="G17" s="27">
        <v>0</v>
      </c>
      <c r="H17" s="28">
        <f t="shared" si="3"/>
        <v>0</v>
      </c>
      <c r="I17" s="28">
        <f t="shared" si="4"/>
        <v>0</v>
      </c>
      <c r="J17" s="25">
        <v>0</v>
      </c>
      <c r="K17" s="29">
        <v>0</v>
      </c>
      <c r="L17" s="25">
        <v>0</v>
      </c>
      <c r="M17" s="27">
        <f>'11-03-2026'!J60</f>
        <v>482869</v>
      </c>
      <c r="N17" s="29">
        <v>0</v>
      </c>
      <c r="O17" s="25">
        <v>0</v>
      </c>
    </row>
    <row r="18" spans="3:15" x14ac:dyDescent="0.35">
      <c r="C18" s="37" t="s">
        <v>23</v>
      </c>
      <c r="D18" s="38" t="s">
        <v>20</v>
      </c>
      <c r="E18" s="39" t="s">
        <v>97</v>
      </c>
      <c r="F18" s="27">
        <v>0</v>
      </c>
      <c r="G18" s="27">
        <v>0</v>
      </c>
      <c r="H18" s="28">
        <f t="shared" si="3"/>
        <v>0</v>
      </c>
      <c r="I18" s="28">
        <f t="shared" si="4"/>
        <v>0</v>
      </c>
      <c r="J18" s="25">
        <v>0</v>
      </c>
      <c r="K18" s="29">
        <v>0</v>
      </c>
      <c r="L18" s="25">
        <v>0</v>
      </c>
      <c r="M18" s="27">
        <f>'11-03-2026'!J61</f>
        <v>8160</v>
      </c>
      <c r="N18" s="29">
        <v>0</v>
      </c>
      <c r="O18" s="25">
        <v>0</v>
      </c>
    </row>
    <row r="19" spans="3:15" x14ac:dyDescent="0.35">
      <c r="C19" s="37" t="s">
        <v>23</v>
      </c>
      <c r="D19" s="38" t="s">
        <v>18</v>
      </c>
      <c r="E19" s="39" t="s">
        <v>97</v>
      </c>
      <c r="F19" s="27">
        <v>0</v>
      </c>
      <c r="G19" s="27">
        <v>0</v>
      </c>
      <c r="H19" s="28">
        <f t="shared" si="3"/>
        <v>0</v>
      </c>
      <c r="I19" s="28">
        <f t="shared" si="4"/>
        <v>0</v>
      </c>
      <c r="J19" s="25">
        <v>0</v>
      </c>
      <c r="K19" s="29">
        <v>0</v>
      </c>
      <c r="L19" s="25">
        <v>0</v>
      </c>
      <c r="M19" s="27">
        <v>0</v>
      </c>
      <c r="N19" s="29">
        <v>0</v>
      </c>
      <c r="O19" s="25">
        <v>0</v>
      </c>
    </row>
    <row r="20" spans="3:15" x14ac:dyDescent="0.35">
      <c r="C20" s="37" t="s">
        <v>23</v>
      </c>
      <c r="D20" s="40"/>
      <c r="E20" s="40"/>
      <c r="F20" s="31">
        <f>SUM(F12:F19)</f>
        <v>187153</v>
      </c>
      <c r="G20" s="31">
        <f>SUM(G12:G19)</f>
        <v>9086</v>
      </c>
      <c r="H20" s="31">
        <f>SUM(H12:H18)</f>
        <v>178067</v>
      </c>
      <c r="I20" s="31">
        <f>SUM(I12:I18)</f>
        <v>72828</v>
      </c>
      <c r="J20" s="31">
        <f>SUM(J12:J19)</f>
        <v>105239</v>
      </c>
      <c r="K20" s="31">
        <f>SUM(K12:K18)</f>
        <v>0</v>
      </c>
      <c r="L20" s="31">
        <f>SUM(L12:L18)</f>
        <v>0</v>
      </c>
      <c r="M20" s="31">
        <f>SUM(M12:M19)</f>
        <v>2950384</v>
      </c>
      <c r="N20" s="31">
        <f>SUM(N12:N18)</f>
        <v>0</v>
      </c>
      <c r="O20" s="31">
        <f>SUM(O12:O19)</f>
        <v>405653</v>
      </c>
    </row>
    <row r="21" spans="3:15" x14ac:dyDescent="0.35">
      <c r="C21" s="37" t="s">
        <v>27</v>
      </c>
      <c r="D21" s="38" t="s">
        <v>25</v>
      </c>
      <c r="E21" s="39" t="s">
        <v>16</v>
      </c>
      <c r="F21" s="27">
        <v>0</v>
      </c>
      <c r="G21" s="27">
        <v>0</v>
      </c>
      <c r="H21" s="28">
        <f t="shared" si="3"/>
        <v>0</v>
      </c>
      <c r="I21" s="28">
        <f t="shared" si="4"/>
        <v>0</v>
      </c>
      <c r="J21" s="25">
        <v>0</v>
      </c>
      <c r="K21" s="29">
        <v>0</v>
      </c>
      <c r="L21" s="25">
        <v>0</v>
      </c>
      <c r="M21" s="27">
        <f>'11-03-2026'!J62</f>
        <v>51257</v>
      </c>
      <c r="N21" s="29">
        <v>0</v>
      </c>
      <c r="O21" s="25">
        <v>0</v>
      </c>
    </row>
    <row r="22" spans="3:15" x14ac:dyDescent="0.35">
      <c r="C22" s="40"/>
      <c r="D22" s="40"/>
      <c r="E22" s="40"/>
      <c r="F22" s="31">
        <f>SUM(F21)</f>
        <v>0</v>
      </c>
      <c r="G22" s="31">
        <f t="shared" ref="G22:O22" si="5">SUM(G21)</f>
        <v>0</v>
      </c>
      <c r="H22" s="31">
        <f t="shared" si="5"/>
        <v>0</v>
      </c>
      <c r="I22" s="31">
        <f t="shared" si="5"/>
        <v>0</v>
      </c>
      <c r="J22" s="31">
        <f t="shared" si="5"/>
        <v>0</v>
      </c>
      <c r="K22" s="31">
        <f t="shared" si="5"/>
        <v>0</v>
      </c>
      <c r="L22" s="31">
        <f t="shared" si="5"/>
        <v>0</v>
      </c>
      <c r="M22" s="31">
        <f t="shared" si="5"/>
        <v>51257</v>
      </c>
      <c r="N22" s="31">
        <f t="shared" si="5"/>
        <v>0</v>
      </c>
      <c r="O22" s="31">
        <f t="shared" si="5"/>
        <v>0</v>
      </c>
    </row>
    <row r="23" spans="3:15" x14ac:dyDescent="0.35">
      <c r="C23" s="37" t="s">
        <v>28</v>
      </c>
      <c r="D23" s="38" t="s">
        <v>29</v>
      </c>
      <c r="E23" s="39" t="s">
        <v>16</v>
      </c>
      <c r="F23" s="27">
        <v>0</v>
      </c>
      <c r="G23" s="27">
        <v>0</v>
      </c>
      <c r="H23" s="28">
        <f t="shared" si="3"/>
        <v>0</v>
      </c>
      <c r="I23" s="28">
        <f t="shared" si="4"/>
        <v>0</v>
      </c>
      <c r="J23" s="25">
        <v>0</v>
      </c>
      <c r="K23" s="29">
        <v>0</v>
      </c>
      <c r="L23" s="25">
        <v>0</v>
      </c>
      <c r="M23" s="27">
        <f>'11-03-2026'!J73</f>
        <v>33969</v>
      </c>
      <c r="N23" s="29">
        <v>0</v>
      </c>
      <c r="O23" s="25">
        <v>0</v>
      </c>
    </row>
    <row r="24" spans="3:15" x14ac:dyDescent="0.35">
      <c r="C24" s="37" t="s">
        <v>28</v>
      </c>
      <c r="D24" s="38" t="s">
        <v>25</v>
      </c>
      <c r="E24" s="39" t="s">
        <v>84</v>
      </c>
      <c r="F24" s="27">
        <v>0</v>
      </c>
      <c r="G24" s="27">
        <v>0</v>
      </c>
      <c r="H24" s="28">
        <f t="shared" si="3"/>
        <v>0</v>
      </c>
      <c r="I24" s="28">
        <f t="shared" si="4"/>
        <v>0</v>
      </c>
      <c r="J24" s="25">
        <v>0</v>
      </c>
      <c r="K24" s="29">
        <v>0</v>
      </c>
      <c r="L24" s="25">
        <v>0</v>
      </c>
      <c r="M24" s="27">
        <f>'11-03-2026'!J74</f>
        <v>166366</v>
      </c>
      <c r="N24" s="29">
        <v>0</v>
      </c>
      <c r="O24" s="25">
        <v>15000</v>
      </c>
    </row>
    <row r="25" spans="3:15" x14ac:dyDescent="0.35">
      <c r="C25" s="40" t="s">
        <v>22</v>
      </c>
      <c r="D25" s="40"/>
      <c r="E25" s="40"/>
      <c r="F25" s="31">
        <f t="shared" ref="F25:L25" si="6">SUM(F23:F24)</f>
        <v>0</v>
      </c>
      <c r="G25" s="31">
        <f t="shared" si="6"/>
        <v>0</v>
      </c>
      <c r="H25" s="31">
        <f t="shared" si="6"/>
        <v>0</v>
      </c>
      <c r="I25" s="31">
        <f t="shared" si="6"/>
        <v>0</v>
      </c>
      <c r="J25" s="31">
        <f t="shared" si="6"/>
        <v>0</v>
      </c>
      <c r="K25" s="31">
        <f>SUM(K23:K24)</f>
        <v>0</v>
      </c>
      <c r="L25" s="31">
        <f t="shared" si="6"/>
        <v>0</v>
      </c>
      <c r="M25" s="31">
        <f>SUM(M23:M24)</f>
        <v>200335</v>
      </c>
      <c r="N25" s="31">
        <f t="shared" ref="N25:O25" si="7">SUM(N23:N24)</f>
        <v>0</v>
      </c>
      <c r="O25" s="31">
        <f t="shared" si="7"/>
        <v>15000</v>
      </c>
    </row>
    <row r="26" spans="3:15" x14ac:dyDescent="0.35">
      <c r="C26" s="37" t="s">
        <v>30</v>
      </c>
      <c r="D26" s="38" t="s">
        <v>29</v>
      </c>
      <c r="E26" s="39" t="s">
        <v>16</v>
      </c>
      <c r="F26" s="32">
        <v>0</v>
      </c>
      <c r="G26" s="32">
        <v>0</v>
      </c>
      <c r="H26" s="28">
        <f t="shared" si="3"/>
        <v>0</v>
      </c>
      <c r="I26" s="28">
        <f t="shared" si="4"/>
        <v>0</v>
      </c>
      <c r="J26" s="33">
        <v>0</v>
      </c>
      <c r="K26" s="34">
        <v>0</v>
      </c>
      <c r="L26" s="33">
        <v>0</v>
      </c>
      <c r="M26" s="32">
        <f>'11-03-2026'!J77</f>
        <v>89658</v>
      </c>
      <c r="N26" s="34">
        <v>0</v>
      </c>
      <c r="O26" s="33">
        <v>0</v>
      </c>
    </row>
    <row r="27" spans="3:15" x14ac:dyDescent="0.35">
      <c r="C27" s="37" t="s">
        <v>30</v>
      </c>
      <c r="D27" s="38" t="s">
        <v>31</v>
      </c>
      <c r="E27" s="39" t="s">
        <v>16</v>
      </c>
      <c r="F27" s="32">
        <v>0</v>
      </c>
      <c r="G27" s="32">
        <v>0</v>
      </c>
      <c r="H27" s="28">
        <f t="shared" si="3"/>
        <v>0</v>
      </c>
      <c r="I27" s="28">
        <f t="shared" si="4"/>
        <v>0</v>
      </c>
      <c r="J27" s="33">
        <v>0</v>
      </c>
      <c r="K27" s="34">
        <v>0</v>
      </c>
      <c r="L27" s="33">
        <v>0</v>
      </c>
      <c r="M27" s="32">
        <f>'11-03-2026'!J78</f>
        <v>17000</v>
      </c>
      <c r="N27" s="34">
        <v>0</v>
      </c>
      <c r="O27" s="33">
        <v>0</v>
      </c>
    </row>
    <row r="28" spans="3:15" x14ac:dyDescent="0.35">
      <c r="C28" s="40" t="s">
        <v>22</v>
      </c>
      <c r="D28" s="40"/>
      <c r="E28" s="40"/>
      <c r="F28" s="31">
        <f>SUM(F26:F27)</f>
        <v>0</v>
      </c>
      <c r="G28" s="31">
        <f t="shared" ref="G28:O28" si="8">SUM(G26:G27)</f>
        <v>0</v>
      </c>
      <c r="H28" s="31">
        <f t="shared" si="8"/>
        <v>0</v>
      </c>
      <c r="I28" s="31">
        <f t="shared" si="8"/>
        <v>0</v>
      </c>
      <c r="J28" s="31">
        <f t="shared" si="8"/>
        <v>0</v>
      </c>
      <c r="K28" s="31">
        <f t="shared" si="8"/>
        <v>0</v>
      </c>
      <c r="L28" s="31">
        <f t="shared" si="8"/>
        <v>0</v>
      </c>
      <c r="M28" s="31">
        <f t="shared" si="8"/>
        <v>106658</v>
      </c>
      <c r="N28" s="31">
        <f t="shared" si="8"/>
        <v>0</v>
      </c>
      <c r="O28" s="31">
        <f t="shared" si="8"/>
        <v>0</v>
      </c>
    </row>
    <row r="29" spans="3:15" x14ac:dyDescent="0.35">
      <c r="C29" s="37" t="s">
        <v>32</v>
      </c>
      <c r="D29" s="38" t="s">
        <v>33</v>
      </c>
      <c r="E29" s="39" t="s">
        <v>97</v>
      </c>
      <c r="F29" s="35">
        <v>0</v>
      </c>
      <c r="G29" s="27">
        <v>0</v>
      </c>
      <c r="H29" s="28">
        <f t="shared" si="3"/>
        <v>0</v>
      </c>
      <c r="I29" s="28">
        <f t="shared" si="4"/>
        <v>0</v>
      </c>
      <c r="J29" s="25">
        <v>0</v>
      </c>
      <c r="K29" s="29">
        <v>0</v>
      </c>
      <c r="L29" s="25">
        <v>0</v>
      </c>
      <c r="M29" s="27">
        <f>'11-03-2026'!J65</f>
        <v>1441143</v>
      </c>
      <c r="N29" s="29">
        <v>0</v>
      </c>
      <c r="O29" s="25">
        <v>31783</v>
      </c>
    </row>
    <row r="30" spans="3:15" x14ac:dyDescent="0.35">
      <c r="C30" s="37" t="s">
        <v>32</v>
      </c>
      <c r="D30" s="38" t="s">
        <v>31</v>
      </c>
      <c r="E30" s="39" t="s">
        <v>16</v>
      </c>
      <c r="F30" s="35">
        <v>0</v>
      </c>
      <c r="G30" s="27">
        <v>0</v>
      </c>
      <c r="H30" s="28">
        <f t="shared" si="3"/>
        <v>0</v>
      </c>
      <c r="I30" s="28">
        <f t="shared" si="4"/>
        <v>0</v>
      </c>
      <c r="J30" s="25">
        <v>0</v>
      </c>
      <c r="K30" s="29">
        <v>0</v>
      </c>
      <c r="L30" s="25">
        <v>0</v>
      </c>
      <c r="M30" s="27">
        <f>'11-03-2026'!J66</f>
        <v>174473</v>
      </c>
      <c r="N30" s="29">
        <v>0</v>
      </c>
      <c r="O30" s="25">
        <v>0</v>
      </c>
    </row>
    <row r="31" spans="3:15" x14ac:dyDescent="0.35">
      <c r="C31" s="37" t="s">
        <v>32</v>
      </c>
      <c r="D31" s="38" t="s">
        <v>26</v>
      </c>
      <c r="E31" s="39" t="s">
        <v>16</v>
      </c>
      <c r="F31" s="35">
        <v>0</v>
      </c>
      <c r="G31" s="27">
        <v>0</v>
      </c>
      <c r="H31" s="28">
        <f t="shared" si="3"/>
        <v>0</v>
      </c>
      <c r="I31" s="28">
        <f t="shared" si="4"/>
        <v>0</v>
      </c>
      <c r="J31" s="25">
        <v>0</v>
      </c>
      <c r="K31" s="29">
        <v>0</v>
      </c>
      <c r="L31" s="25">
        <v>0</v>
      </c>
      <c r="M31" s="27">
        <f>'11-03-2026'!J67</f>
        <v>35126</v>
      </c>
      <c r="N31" s="29">
        <v>0</v>
      </c>
      <c r="O31" s="25">
        <v>0</v>
      </c>
    </row>
    <row r="32" spans="3:15" x14ac:dyDescent="0.35">
      <c r="C32" s="37" t="s">
        <v>32</v>
      </c>
      <c r="D32" s="38" t="s">
        <v>34</v>
      </c>
      <c r="E32" s="39" t="s">
        <v>86</v>
      </c>
      <c r="F32" s="35">
        <v>59796</v>
      </c>
      <c r="G32" s="27">
        <v>0</v>
      </c>
      <c r="H32" s="28">
        <f t="shared" si="3"/>
        <v>59796</v>
      </c>
      <c r="I32" s="28">
        <f t="shared" si="4"/>
        <v>58962</v>
      </c>
      <c r="J32" s="25">
        <v>834</v>
      </c>
      <c r="K32" s="29">
        <v>0</v>
      </c>
      <c r="L32" s="25">
        <v>0</v>
      </c>
      <c r="M32" s="27">
        <f>'11-03-2026'!J68</f>
        <v>1439883</v>
      </c>
      <c r="N32" s="29">
        <v>0</v>
      </c>
      <c r="O32" s="25">
        <v>64843</v>
      </c>
    </row>
    <row r="33" spans="3:15" x14ac:dyDescent="0.35">
      <c r="C33" s="37" t="s">
        <v>32</v>
      </c>
      <c r="D33" s="38" t="s">
        <v>34</v>
      </c>
      <c r="E33" s="39" t="s">
        <v>50</v>
      </c>
      <c r="F33" s="35">
        <v>952</v>
      </c>
      <c r="G33" s="27">
        <v>0</v>
      </c>
      <c r="H33" s="28">
        <f t="shared" si="3"/>
        <v>952</v>
      </c>
      <c r="I33" s="28">
        <f t="shared" si="4"/>
        <v>0</v>
      </c>
      <c r="J33" s="25">
        <v>952</v>
      </c>
      <c r="K33" s="29">
        <v>0</v>
      </c>
      <c r="L33" s="25">
        <v>0</v>
      </c>
      <c r="M33" s="27">
        <v>0</v>
      </c>
      <c r="N33" s="29">
        <v>0</v>
      </c>
      <c r="O33" s="25">
        <v>0</v>
      </c>
    </row>
    <row r="34" spans="3:15" x14ac:dyDescent="0.35">
      <c r="C34" s="40" t="s">
        <v>22</v>
      </c>
      <c r="D34" s="40"/>
      <c r="E34" s="40"/>
      <c r="F34" s="31">
        <f>SUM(F29:F33)</f>
        <v>60748</v>
      </c>
      <c r="G34" s="31">
        <f>SUM(G29:G33)</f>
        <v>0</v>
      </c>
      <c r="H34" s="31">
        <f t="shared" ref="H34:M34" si="9">SUM(H29:H32)</f>
        <v>59796</v>
      </c>
      <c r="I34" s="31">
        <f t="shared" si="9"/>
        <v>58962</v>
      </c>
      <c r="J34" s="31">
        <f>SUM(J29:J33)</f>
        <v>1786</v>
      </c>
      <c r="K34" s="31">
        <f>SUM(K29:K33)</f>
        <v>0</v>
      </c>
      <c r="L34" s="31">
        <f>SUM(L29:L33)</f>
        <v>0</v>
      </c>
      <c r="M34" s="31">
        <f t="shared" si="9"/>
        <v>3090625</v>
      </c>
      <c r="N34" s="31">
        <f>SUM(N29:N33)</f>
        <v>0</v>
      </c>
      <c r="O34" s="31">
        <f>SUM(O29:O33)</f>
        <v>96626</v>
      </c>
    </row>
    <row r="35" spans="3:15" x14ac:dyDescent="0.35">
      <c r="C35" s="41" t="s">
        <v>35</v>
      </c>
      <c r="D35" s="41"/>
      <c r="E35" s="41"/>
      <c r="F35" s="36">
        <f t="shared" ref="F35:O35" si="10">F34+F28+F25+F22+F20+F11</f>
        <v>889952</v>
      </c>
      <c r="G35" s="36">
        <f t="shared" si="10"/>
        <v>9086</v>
      </c>
      <c r="H35" s="36">
        <f t="shared" si="10"/>
        <v>879914</v>
      </c>
      <c r="I35" s="36">
        <f t="shared" si="10"/>
        <v>665407</v>
      </c>
      <c r="J35" s="36">
        <f t="shared" si="10"/>
        <v>215459</v>
      </c>
      <c r="K35" s="36">
        <f t="shared" si="10"/>
        <v>0</v>
      </c>
      <c r="L35" s="36">
        <f t="shared" si="10"/>
        <v>1000</v>
      </c>
      <c r="M35" s="36">
        <f t="shared" si="10"/>
        <v>15068578</v>
      </c>
      <c r="N35" s="36">
        <f t="shared" si="10"/>
        <v>0</v>
      </c>
      <c r="O35" s="36">
        <f t="shared" si="10"/>
        <v>686152</v>
      </c>
    </row>
    <row r="36" spans="3:15" x14ac:dyDescent="0.35">
      <c r="F36" s="49" t="s">
        <v>36</v>
      </c>
      <c r="G36" s="25">
        <f>O11+L11+J11-K11</f>
        <v>278307</v>
      </c>
      <c r="H36" s="200"/>
      <c r="I36" s="201"/>
      <c r="J36" s="50"/>
      <c r="K36" s="51"/>
      <c r="L36" s="51"/>
    </row>
    <row r="37" spans="3:15" x14ac:dyDescent="0.35">
      <c r="F37" s="52" t="s">
        <v>37</v>
      </c>
      <c r="G37" s="25">
        <f>O20+L20+J20-K20+O22+L22+J22-K22</f>
        <v>510892</v>
      </c>
      <c r="H37" s="53"/>
      <c r="I37" s="54" t="s">
        <v>89</v>
      </c>
      <c r="J37" s="54" t="s">
        <v>90</v>
      </c>
      <c r="K37" s="192" t="s">
        <v>88</v>
      </c>
      <c r="L37" s="193"/>
      <c r="M37" s="202" t="s">
        <v>87</v>
      </c>
      <c r="N37" s="203"/>
      <c r="O37" s="204"/>
    </row>
    <row r="38" spans="3:15" x14ac:dyDescent="0.35">
      <c r="C38" s="205" t="s">
        <v>68</v>
      </c>
      <c r="D38" s="206"/>
      <c r="F38" s="55" t="s">
        <v>38</v>
      </c>
      <c r="G38" s="25">
        <f>O25+L25+J25-K25</f>
        <v>15000</v>
      </c>
      <c r="H38" s="53"/>
      <c r="I38" s="54"/>
      <c r="J38" s="57"/>
      <c r="K38" s="192"/>
      <c r="L38" s="193"/>
      <c r="M38" s="59"/>
      <c r="N38" s="58"/>
      <c r="O38" s="60"/>
    </row>
    <row r="39" spans="3:15" x14ac:dyDescent="0.35">
      <c r="C39" s="61"/>
      <c r="D39" s="61"/>
      <c r="F39" s="62" t="s">
        <v>30</v>
      </c>
      <c r="G39" s="25">
        <f>O28+L28+J28-K28</f>
        <v>0</v>
      </c>
      <c r="H39" s="53"/>
      <c r="I39" s="56"/>
      <c r="J39" s="57"/>
      <c r="K39" s="192"/>
      <c r="L39" s="193"/>
      <c r="M39" s="59"/>
      <c r="N39" s="58"/>
      <c r="O39" s="60"/>
    </row>
    <row r="40" spans="3:15" x14ac:dyDescent="0.35">
      <c r="C40" s="61"/>
      <c r="D40" s="61"/>
      <c r="F40" s="49" t="s">
        <v>39</v>
      </c>
      <c r="G40" s="25">
        <f>O34+L34+J34-K34</f>
        <v>98412</v>
      </c>
      <c r="H40" s="53"/>
      <c r="I40" s="56"/>
      <c r="J40" s="57"/>
      <c r="K40" s="192"/>
      <c r="L40" s="193"/>
      <c r="M40" s="59"/>
      <c r="N40" s="58"/>
      <c r="O40" s="60"/>
    </row>
    <row r="41" spans="3:15" x14ac:dyDescent="0.35">
      <c r="C41" s="61"/>
      <c r="D41" s="61"/>
      <c r="F41" s="63" t="s">
        <v>40</v>
      </c>
      <c r="G41" s="26">
        <f>SUM(G36:G40)</f>
        <v>902611</v>
      </c>
      <c r="I41" s="61"/>
      <c r="J41" s="57"/>
      <c r="K41" s="192"/>
      <c r="L41" s="193"/>
      <c r="M41" s="59"/>
      <c r="N41" s="58"/>
      <c r="O41" s="60"/>
    </row>
    <row r="42" spans="3:15" x14ac:dyDescent="0.35">
      <c r="C42" s="61"/>
      <c r="D42" s="61"/>
      <c r="F42" s="64"/>
      <c r="G42" s="65"/>
      <c r="I42" s="61"/>
      <c r="J42" s="57"/>
      <c r="K42" s="192"/>
      <c r="L42" s="193"/>
      <c r="M42" s="59"/>
      <c r="N42" s="58"/>
      <c r="O42" s="60"/>
    </row>
    <row r="43" spans="3:15" x14ac:dyDescent="0.35">
      <c r="C43" s="61"/>
      <c r="D43" s="61"/>
      <c r="F43" s="64"/>
      <c r="G43" s="65"/>
      <c r="I43" s="61"/>
      <c r="J43" s="57"/>
      <c r="K43" s="58"/>
      <c r="L43" s="58"/>
      <c r="M43" s="59"/>
      <c r="N43" s="58"/>
      <c r="O43" s="60"/>
    </row>
    <row r="44" spans="3:15" x14ac:dyDescent="0.35">
      <c r="C44" s="61"/>
      <c r="D44" s="61"/>
      <c r="F44" s="64"/>
      <c r="G44" s="65"/>
      <c r="I44" s="61"/>
      <c r="J44" s="57"/>
      <c r="K44" s="58"/>
      <c r="L44" s="58"/>
      <c r="M44" s="59"/>
      <c r="N44" s="58"/>
      <c r="O44" s="60"/>
    </row>
    <row r="45" spans="3:15" x14ac:dyDescent="0.35">
      <c r="C45" s="61"/>
      <c r="D45" s="61"/>
      <c r="F45" s="64"/>
      <c r="G45" s="65"/>
      <c r="I45" s="61"/>
      <c r="J45" s="57"/>
      <c r="K45" s="58"/>
      <c r="L45" s="58"/>
      <c r="M45" s="59"/>
      <c r="N45" s="58"/>
      <c r="O45" s="60"/>
    </row>
    <row r="46" spans="3:15" x14ac:dyDescent="0.35">
      <c r="C46" s="61"/>
      <c r="D46" s="61"/>
      <c r="F46" s="64"/>
      <c r="G46" s="65"/>
      <c r="I46" s="61"/>
      <c r="J46" s="57"/>
      <c r="K46" s="191"/>
      <c r="L46" s="193"/>
      <c r="M46" s="191"/>
      <c r="N46" s="192"/>
      <c r="O46" s="193"/>
    </row>
    <row r="47" spans="3:15" x14ac:dyDescent="0.35">
      <c r="C47" s="61"/>
      <c r="D47" s="61"/>
      <c r="F47" s="64"/>
      <c r="G47" s="65"/>
      <c r="I47" s="61"/>
      <c r="J47" s="54"/>
      <c r="K47" s="191"/>
      <c r="L47" s="193"/>
      <c r="M47" s="191"/>
      <c r="N47" s="192"/>
      <c r="O47" s="193"/>
    </row>
    <row r="48" spans="3:15" x14ac:dyDescent="0.35">
      <c r="C48" s="61"/>
      <c r="D48" s="61"/>
      <c r="F48" s="64"/>
      <c r="G48" s="65"/>
      <c r="I48" s="61"/>
      <c r="J48" s="54"/>
      <c r="K48" s="191"/>
      <c r="L48" s="193"/>
      <c r="M48" s="191"/>
      <c r="N48" s="192"/>
      <c r="O48" s="193"/>
    </row>
    <row r="49" spans="3:15" x14ac:dyDescent="0.35">
      <c r="C49" s="61"/>
      <c r="D49" s="61"/>
      <c r="F49" s="64"/>
      <c r="G49" s="65"/>
      <c r="I49" s="61"/>
      <c r="J49" s="54"/>
      <c r="K49" s="191"/>
      <c r="L49" s="193"/>
      <c r="M49" s="191"/>
      <c r="N49" s="192"/>
      <c r="O49" s="193"/>
    </row>
    <row r="50" spans="3:15" x14ac:dyDescent="0.35">
      <c r="C50" s="61"/>
      <c r="D50" s="61"/>
      <c r="F50" s="64"/>
      <c r="G50" s="65"/>
      <c r="I50" s="61"/>
      <c r="J50" s="54"/>
      <c r="K50" s="191"/>
      <c r="L50" s="193"/>
      <c r="M50" s="191"/>
      <c r="N50" s="192"/>
      <c r="O50" s="193"/>
    </row>
    <row r="51" spans="3:15" x14ac:dyDescent="0.35">
      <c r="H51" s="209" t="s">
        <v>41</v>
      </c>
      <c r="I51" s="209"/>
      <c r="J51" s="209"/>
      <c r="K51" s="210"/>
      <c r="L51" s="46"/>
      <c r="M51" s="66"/>
    </row>
    <row r="52" spans="3:15" x14ac:dyDescent="0.35">
      <c r="H52" s="67" t="s">
        <v>42</v>
      </c>
      <c r="I52" s="67" t="s">
        <v>43</v>
      </c>
      <c r="J52" s="67" t="s">
        <v>44</v>
      </c>
      <c r="K52" s="210"/>
      <c r="L52" s="66"/>
    </row>
    <row r="53" spans="3:15" x14ac:dyDescent="0.35">
      <c r="F53" s="68"/>
      <c r="H53" s="42" t="s">
        <v>14</v>
      </c>
      <c r="I53" s="42" t="s">
        <v>15</v>
      </c>
      <c r="J53" s="68">
        <f>M5-O5-N5-L5+I5</f>
        <v>380875</v>
      </c>
      <c r="K53" s="69">
        <v>318526</v>
      </c>
      <c r="L53" s="70">
        <f>J53-K53</f>
        <v>62349</v>
      </c>
      <c r="M53" s="68"/>
    </row>
    <row r="54" spans="3:15" x14ac:dyDescent="0.35">
      <c r="C54" s="211">
        <v>45931</v>
      </c>
      <c r="D54" s="211"/>
      <c r="E54" s="211"/>
      <c r="H54" s="42" t="s">
        <v>14</v>
      </c>
      <c r="I54" s="42" t="s">
        <v>17</v>
      </c>
      <c r="J54" s="68">
        <f>M6-O6-N6-L6+I6+G54</f>
        <v>3500290</v>
      </c>
      <c r="K54" s="69">
        <v>3500289</v>
      </c>
      <c r="L54" s="70">
        <f t="shared" ref="L54:L65" si="11">J54-K54</f>
        <v>1</v>
      </c>
      <c r="M54" s="68"/>
    </row>
    <row r="55" spans="3:15" x14ac:dyDescent="0.35">
      <c r="C55" s="212" t="s">
        <v>63</v>
      </c>
      <c r="D55" s="212"/>
      <c r="E55" s="212"/>
      <c r="H55" s="42" t="s">
        <v>14</v>
      </c>
      <c r="I55" s="42" t="s">
        <v>18</v>
      </c>
      <c r="J55" s="68">
        <f>M7-O7-N7-L7+I7+G55</f>
        <v>1894568</v>
      </c>
      <c r="K55" s="69">
        <v>1696451</v>
      </c>
      <c r="L55" s="70">
        <f t="shared" si="11"/>
        <v>198117</v>
      </c>
      <c r="M55" s="68"/>
    </row>
    <row r="56" spans="3:15" x14ac:dyDescent="0.35">
      <c r="C56" s="61" t="s">
        <v>64</v>
      </c>
      <c r="D56" s="213">
        <f>'Opening Balance FEB 2026'!J4</f>
        <v>1308640</v>
      </c>
      <c r="E56" s="214"/>
      <c r="H56" s="42" t="s">
        <v>14</v>
      </c>
      <c r="I56" s="42" t="s">
        <v>19</v>
      </c>
      <c r="J56" s="68">
        <f>M8-O8-N8-L8+I8+G56</f>
        <v>1193416</v>
      </c>
      <c r="K56" s="69">
        <v>1121787</v>
      </c>
      <c r="L56" s="70">
        <f t="shared" si="11"/>
        <v>71629</v>
      </c>
      <c r="M56" s="68"/>
    </row>
    <row r="57" spans="3:15" x14ac:dyDescent="0.35">
      <c r="C57" s="61" t="s">
        <v>65</v>
      </c>
      <c r="D57" s="213">
        <f>G41</f>
        <v>902611</v>
      </c>
      <c r="E57" s="214"/>
      <c r="H57" s="42" t="s">
        <v>14</v>
      </c>
      <c r="I57" s="42" t="s">
        <v>20</v>
      </c>
      <c r="J57" s="68">
        <f>M9-O9-N9-L9+I9+G57</f>
        <v>1307227</v>
      </c>
      <c r="K57" s="69">
        <v>1306938</v>
      </c>
      <c r="L57" s="70">
        <f t="shared" si="11"/>
        <v>289</v>
      </c>
      <c r="M57" s="68"/>
    </row>
    <row r="58" spans="3:15" x14ac:dyDescent="0.35">
      <c r="C58" s="71" t="s">
        <v>45</v>
      </c>
      <c r="D58" s="215">
        <f>D56+D57</f>
        <v>2211251</v>
      </c>
      <c r="E58" s="216"/>
      <c r="H58" s="42" t="s">
        <v>14</v>
      </c>
      <c r="I58" s="42" t="s">
        <v>21</v>
      </c>
      <c r="J58" s="68">
        <f>M10-O10-N10-L10+I10+G58</f>
        <v>756687</v>
      </c>
      <c r="K58" s="69">
        <v>728361</v>
      </c>
      <c r="L58" s="70">
        <f t="shared" si="11"/>
        <v>28326</v>
      </c>
    </row>
    <row r="59" spans="3:15" x14ac:dyDescent="0.35">
      <c r="C59" s="61" t="s">
        <v>66</v>
      </c>
      <c r="D59" s="207">
        <v>0</v>
      </c>
      <c r="E59" s="208"/>
      <c r="H59" s="72" t="s">
        <v>45</v>
      </c>
      <c r="I59" s="72"/>
      <c r="J59" s="73">
        <f>SUM(J53:J58)</f>
        <v>9033063</v>
      </c>
      <c r="K59" s="74">
        <v>9033063</v>
      </c>
      <c r="L59" s="70">
        <f t="shared" si="11"/>
        <v>0</v>
      </c>
    </row>
    <row r="60" spans="3:15" x14ac:dyDescent="0.35">
      <c r="C60" s="61" t="s">
        <v>78</v>
      </c>
      <c r="D60" s="207">
        <v>0</v>
      </c>
      <c r="E60" s="208"/>
      <c r="H60" s="72"/>
      <c r="I60" s="72"/>
      <c r="J60" s="73"/>
      <c r="K60" s="75"/>
      <c r="L60" s="70"/>
    </row>
    <row r="61" spans="3:15" x14ac:dyDescent="0.35">
      <c r="C61" s="61" t="s">
        <v>75</v>
      </c>
      <c r="D61" s="207">
        <v>10000</v>
      </c>
      <c r="E61" s="208"/>
      <c r="H61" s="67" t="s">
        <v>42</v>
      </c>
      <c r="I61" s="67" t="s">
        <v>43</v>
      </c>
      <c r="J61" s="67" t="s">
        <v>44</v>
      </c>
      <c r="K61" s="66"/>
      <c r="L61" s="70"/>
    </row>
    <row r="62" spans="3:15" x14ac:dyDescent="0.35">
      <c r="C62" s="76" t="s">
        <v>83</v>
      </c>
      <c r="D62" s="217">
        <f>SUM(D59:E61)</f>
        <v>10000</v>
      </c>
      <c r="E62" s="218"/>
      <c r="H62" s="42" t="s">
        <v>46</v>
      </c>
      <c r="I62" s="42" t="s">
        <v>48</v>
      </c>
      <c r="J62" s="68">
        <f>M12-O12-N12-L12+I12</f>
        <v>469169</v>
      </c>
      <c r="K62" s="69">
        <v>469169</v>
      </c>
      <c r="L62" s="70">
        <f t="shared" si="11"/>
        <v>0</v>
      </c>
    </row>
    <row r="63" spans="3:15" x14ac:dyDescent="0.35">
      <c r="C63" s="77" t="s">
        <v>67</v>
      </c>
      <c r="D63" s="219">
        <f>D58-D59-D61-D60</f>
        <v>2201251</v>
      </c>
      <c r="E63" s="220"/>
      <c r="H63" s="42" t="s">
        <v>46</v>
      </c>
      <c r="I63" s="42" t="s">
        <v>47</v>
      </c>
      <c r="J63" s="68">
        <f>M13-O13-N13-L13+I13+I16</f>
        <v>1657361</v>
      </c>
      <c r="K63" s="69">
        <v>1702361</v>
      </c>
      <c r="L63" s="70">
        <f t="shared" si="11"/>
        <v>-45000</v>
      </c>
      <c r="N63" s="68"/>
    </row>
    <row r="64" spans="3:15" x14ac:dyDescent="0.35">
      <c r="C64" s="78" t="s">
        <v>68</v>
      </c>
      <c r="D64" s="221"/>
      <c r="E64" s="222"/>
      <c r="H64" s="42" t="s">
        <v>46</v>
      </c>
      <c r="I64" s="42" t="s">
        <v>15</v>
      </c>
      <c r="J64" s="68">
        <f>M17-O17-N17-L17+I17</f>
        <v>482869</v>
      </c>
      <c r="K64" s="69">
        <v>482869</v>
      </c>
      <c r="L64" s="70">
        <f t="shared" si="11"/>
        <v>0</v>
      </c>
      <c r="M64" s="68"/>
      <c r="N64" s="68"/>
    </row>
    <row r="65" spans="3:14" x14ac:dyDescent="0.35">
      <c r="C65" s="61" t="s">
        <v>14</v>
      </c>
      <c r="D65" s="213">
        <v>0</v>
      </c>
      <c r="E65" s="214"/>
      <c r="H65" s="42" t="s">
        <v>46</v>
      </c>
      <c r="I65" s="42" t="s">
        <v>20</v>
      </c>
      <c r="J65" s="68">
        <v>8160</v>
      </c>
      <c r="K65" s="69">
        <v>8160</v>
      </c>
      <c r="L65" s="70">
        <f t="shared" si="11"/>
        <v>0</v>
      </c>
    </row>
    <row r="66" spans="3:14" x14ac:dyDescent="0.35">
      <c r="C66" s="61" t="s">
        <v>72</v>
      </c>
      <c r="D66" s="213">
        <v>0</v>
      </c>
      <c r="E66" s="214"/>
      <c r="H66" s="42" t="s">
        <v>27</v>
      </c>
      <c r="I66" s="42" t="s">
        <v>47</v>
      </c>
      <c r="J66" s="68">
        <f>M21-O21-N21-L21+I21</f>
        <v>51257</v>
      </c>
      <c r="K66" s="69">
        <v>51257</v>
      </c>
      <c r="L66" s="70">
        <f>J66-K66</f>
        <v>0</v>
      </c>
    </row>
    <row r="67" spans="3:14" x14ac:dyDescent="0.35">
      <c r="C67" s="61" t="s">
        <v>69</v>
      </c>
      <c r="D67" s="213">
        <v>0</v>
      </c>
      <c r="E67" s="214"/>
      <c r="H67" s="72" t="s">
        <v>45</v>
      </c>
      <c r="I67" s="72"/>
      <c r="J67" s="73">
        <f>SUM(J62:J66)</f>
        <v>2668816</v>
      </c>
      <c r="K67" s="69">
        <f>SUM(K62:K66)</f>
        <v>2713816</v>
      </c>
      <c r="L67" s="70">
        <f>J67-K67</f>
        <v>-45000</v>
      </c>
    </row>
    <row r="68" spans="3:14" x14ac:dyDescent="0.35">
      <c r="C68" s="61" t="s">
        <v>70</v>
      </c>
      <c r="D68" s="213">
        <v>0</v>
      </c>
      <c r="E68" s="214"/>
      <c r="F68" s="68"/>
      <c r="H68" s="67" t="s">
        <v>42</v>
      </c>
      <c r="I68" s="67" t="s">
        <v>43</v>
      </c>
      <c r="J68" s="67" t="s">
        <v>44</v>
      </c>
    </row>
    <row r="69" spans="3:14" x14ac:dyDescent="0.35">
      <c r="C69" s="61" t="s">
        <v>71</v>
      </c>
      <c r="D69" s="213">
        <v>0</v>
      </c>
      <c r="E69" s="214"/>
      <c r="F69" s="79"/>
      <c r="G69" s="80"/>
      <c r="H69" s="42" t="s">
        <v>49</v>
      </c>
      <c r="I69" s="42" t="s">
        <v>51</v>
      </c>
      <c r="J69" s="68">
        <f>M29-O29-N29-L29+I29</f>
        <v>1409360</v>
      </c>
      <c r="K69" s="69">
        <v>1409360</v>
      </c>
      <c r="L69" s="70">
        <f t="shared" ref="L69:L75" si="12">J69-K69</f>
        <v>0</v>
      </c>
      <c r="N69" s="68"/>
    </row>
    <row r="70" spans="3:14" x14ac:dyDescent="0.35">
      <c r="C70" s="77" t="s">
        <v>73</v>
      </c>
      <c r="D70" s="219">
        <f>SUM(D65:D69)</f>
        <v>0</v>
      </c>
      <c r="E70" s="220"/>
      <c r="F70" s="68"/>
      <c r="H70" s="42" t="s">
        <v>49</v>
      </c>
      <c r="I70" s="42" t="s">
        <v>18</v>
      </c>
      <c r="J70" s="68">
        <f>M30-O30-N30-L30+I30</f>
        <v>174473</v>
      </c>
      <c r="K70" s="69">
        <v>174473</v>
      </c>
      <c r="L70" s="70">
        <f t="shared" si="12"/>
        <v>0</v>
      </c>
    </row>
    <row r="71" spans="3:14" x14ac:dyDescent="0.35">
      <c r="C71" s="81" t="s">
        <v>74</v>
      </c>
      <c r="D71" s="223">
        <f>D63-D70</f>
        <v>2201251</v>
      </c>
      <c r="E71" s="224"/>
      <c r="F71" s="68"/>
      <c r="H71" s="42" t="s">
        <v>49</v>
      </c>
      <c r="I71" s="42" t="s">
        <v>15</v>
      </c>
      <c r="J71" s="68">
        <f>M31-O31-N31-L31+I31</f>
        <v>35126</v>
      </c>
      <c r="K71" s="69">
        <v>35126</v>
      </c>
      <c r="L71" s="70">
        <f t="shared" si="12"/>
        <v>0</v>
      </c>
    </row>
    <row r="72" spans="3:14" x14ac:dyDescent="0.35">
      <c r="C72" s="61"/>
      <c r="D72" s="213">
        <v>3102990</v>
      </c>
      <c r="E72" s="214"/>
      <c r="H72" s="42" t="s">
        <v>49</v>
      </c>
      <c r="I72" s="42" t="s">
        <v>50</v>
      </c>
      <c r="J72" s="68">
        <f>M32-O32-N32-L32+I32+G72+I33</f>
        <v>1434002</v>
      </c>
      <c r="K72" s="69">
        <v>1434954</v>
      </c>
      <c r="L72" s="70">
        <f t="shared" si="12"/>
        <v>-952</v>
      </c>
    </row>
    <row r="73" spans="3:14" x14ac:dyDescent="0.35">
      <c r="C73" s="61"/>
      <c r="D73" s="213">
        <f>D71-D72</f>
        <v>-901739</v>
      </c>
      <c r="E73" s="214"/>
      <c r="H73" s="42" t="s">
        <v>49</v>
      </c>
      <c r="I73" s="42" t="s">
        <v>20</v>
      </c>
      <c r="J73" s="68">
        <f>'Opening Balance FEB 2026'!F24</f>
        <v>66046</v>
      </c>
      <c r="K73" s="69">
        <v>66046</v>
      </c>
      <c r="L73" s="70">
        <f t="shared" si="12"/>
        <v>0</v>
      </c>
    </row>
    <row r="74" spans="3:14" x14ac:dyDescent="0.35">
      <c r="H74" s="42" t="s">
        <v>49</v>
      </c>
      <c r="I74" s="42" t="s">
        <v>47</v>
      </c>
      <c r="J74" s="68">
        <f>'Opening Balance FEB 2026'!F25</f>
        <v>23570</v>
      </c>
      <c r="K74" s="69">
        <v>23570</v>
      </c>
      <c r="L74" s="70">
        <f t="shared" si="12"/>
        <v>0</v>
      </c>
    </row>
    <row r="75" spans="3:14" x14ac:dyDescent="0.35">
      <c r="H75" s="72" t="s">
        <v>45</v>
      </c>
      <c r="I75" s="72"/>
      <c r="J75" s="73">
        <f>SUM(J69:J74)</f>
        <v>3142577</v>
      </c>
      <c r="K75" s="69">
        <v>3138529</v>
      </c>
      <c r="L75" s="70">
        <f t="shared" si="12"/>
        <v>4048</v>
      </c>
      <c r="N75" s="68"/>
    </row>
    <row r="76" spans="3:14" x14ac:dyDescent="0.35">
      <c r="H76" s="67" t="s">
        <v>42</v>
      </c>
      <c r="I76" s="67" t="s">
        <v>43</v>
      </c>
      <c r="J76" s="67" t="s">
        <v>44</v>
      </c>
    </row>
    <row r="77" spans="3:14" x14ac:dyDescent="0.35">
      <c r="H77" s="42" t="s">
        <v>52</v>
      </c>
      <c r="I77" s="42" t="s">
        <v>53</v>
      </c>
      <c r="J77" s="68">
        <f>M23-O23-N23-L23+I23-G76</f>
        <v>33969</v>
      </c>
      <c r="K77" s="68">
        <v>33969</v>
      </c>
      <c r="L77" s="70">
        <f>J77-K77</f>
        <v>0</v>
      </c>
    </row>
    <row r="78" spans="3:14" x14ac:dyDescent="0.35">
      <c r="H78" s="42" t="s">
        <v>52</v>
      </c>
      <c r="I78" s="42" t="s">
        <v>47</v>
      </c>
      <c r="J78" s="68">
        <f>M24-O24-N24-L24+I24</f>
        <v>151366</v>
      </c>
      <c r="K78" s="82">
        <v>151366</v>
      </c>
      <c r="L78" s="70">
        <f>J78-K78</f>
        <v>0</v>
      </c>
    </row>
    <row r="79" spans="3:14" x14ac:dyDescent="0.35">
      <c r="H79" s="72" t="s">
        <v>45</v>
      </c>
      <c r="I79" s="72"/>
      <c r="J79" s="73">
        <f>SUM(J77:J78)</f>
        <v>185335</v>
      </c>
      <c r="K79" s="68">
        <v>160846</v>
      </c>
      <c r="L79" s="70">
        <f>J79-K79</f>
        <v>24489</v>
      </c>
    </row>
    <row r="80" spans="3:14" x14ac:dyDescent="0.35">
      <c r="G80" s="42">
        <v>0</v>
      </c>
      <c r="H80" s="67" t="s">
        <v>42</v>
      </c>
      <c r="I80" s="67" t="s">
        <v>43</v>
      </c>
      <c r="J80" s="67" t="s">
        <v>44</v>
      </c>
      <c r="K80" s="69">
        <v>0</v>
      </c>
      <c r="L80" s="70"/>
    </row>
    <row r="81" spans="4:12" x14ac:dyDescent="0.35">
      <c r="H81" s="42" t="s">
        <v>54</v>
      </c>
      <c r="I81" s="42" t="s">
        <v>53</v>
      </c>
      <c r="J81" s="68">
        <f>M26-O26-N26-L26+I26-G80</f>
        <v>89658</v>
      </c>
      <c r="K81" s="69">
        <v>89658</v>
      </c>
      <c r="L81" s="70">
        <f>J81-K81</f>
        <v>0</v>
      </c>
    </row>
    <row r="82" spans="4:12" x14ac:dyDescent="0.35">
      <c r="H82" s="42" t="s">
        <v>54</v>
      </c>
      <c r="I82" s="42" t="s">
        <v>18</v>
      </c>
      <c r="J82" s="68">
        <f>M27-O27-N27-L27+I27</f>
        <v>17000</v>
      </c>
      <c r="K82" s="69">
        <v>67000</v>
      </c>
      <c r="L82" s="70">
        <f>J82-K82</f>
        <v>-50000</v>
      </c>
    </row>
    <row r="83" spans="4:12" x14ac:dyDescent="0.35">
      <c r="H83" s="72" t="s">
        <v>45</v>
      </c>
      <c r="I83" s="72"/>
      <c r="J83" s="73">
        <f>SUM(J81:J82)</f>
        <v>106658</v>
      </c>
      <c r="K83" s="68">
        <f>SUM(K80:K82)</f>
        <v>156658</v>
      </c>
      <c r="L83" s="70">
        <f>J83-K83</f>
        <v>-50000</v>
      </c>
    </row>
    <row r="84" spans="4:12" x14ac:dyDescent="0.35">
      <c r="H84" s="67" t="s">
        <v>42</v>
      </c>
      <c r="I84" s="67" t="s">
        <v>43</v>
      </c>
      <c r="J84" s="67" t="s">
        <v>44</v>
      </c>
      <c r="K84" s="69">
        <v>0</v>
      </c>
      <c r="L84" s="70"/>
    </row>
    <row r="85" spans="4:12" x14ac:dyDescent="0.35">
      <c r="H85" s="42" t="s">
        <v>55</v>
      </c>
      <c r="I85" s="42" t="s">
        <v>56</v>
      </c>
      <c r="J85" s="68">
        <f>'Opening Balance FEB 2026'!F36</f>
        <v>103541</v>
      </c>
      <c r="K85" s="69">
        <v>103541</v>
      </c>
      <c r="L85" s="70">
        <f>J85-K85</f>
        <v>0</v>
      </c>
    </row>
    <row r="86" spans="4:12" x14ac:dyDescent="0.35">
      <c r="H86" s="42" t="s">
        <v>55</v>
      </c>
      <c r="I86" s="42" t="s">
        <v>47</v>
      </c>
      <c r="J86" s="68">
        <f>'Opening Balance FEB 2026'!F37</f>
        <v>6013</v>
      </c>
      <c r="K86" s="69">
        <v>6013</v>
      </c>
      <c r="L86" s="70">
        <f>J86-K86</f>
        <v>0</v>
      </c>
    </row>
    <row r="87" spans="4:12" x14ac:dyDescent="0.35">
      <c r="H87" s="72" t="s">
        <v>45</v>
      </c>
      <c r="I87" s="72"/>
      <c r="J87" s="73">
        <v>109554</v>
      </c>
      <c r="K87" s="68">
        <f>SUM(K84:K86)</f>
        <v>109554</v>
      </c>
      <c r="L87" s="70">
        <f>J87-K87</f>
        <v>0</v>
      </c>
    </row>
    <row r="88" spans="4:12" x14ac:dyDescent="0.35">
      <c r="H88" s="67" t="s">
        <v>42</v>
      </c>
      <c r="I88" s="67" t="s">
        <v>43</v>
      </c>
      <c r="J88" s="67" t="s">
        <v>44</v>
      </c>
      <c r="K88" s="69">
        <v>0</v>
      </c>
      <c r="L88" s="70"/>
    </row>
    <row r="89" spans="4:12" x14ac:dyDescent="0.35">
      <c r="H89" s="42" t="s">
        <v>57</v>
      </c>
      <c r="I89" s="42" t="s">
        <v>47</v>
      </c>
      <c r="J89" s="68">
        <f>'Opening Balance FEB 2026'!F40</f>
        <v>16440</v>
      </c>
      <c r="K89" s="69">
        <v>16440</v>
      </c>
      <c r="L89" s="70">
        <f>J89-K89</f>
        <v>0</v>
      </c>
    </row>
    <row r="90" spans="4:12" x14ac:dyDescent="0.35">
      <c r="H90" s="72" t="s">
        <v>45</v>
      </c>
      <c r="I90" s="72"/>
      <c r="J90" s="73">
        <v>16440</v>
      </c>
      <c r="K90" s="69">
        <f>SUM(K88:K89)</f>
        <v>16440</v>
      </c>
    </row>
    <row r="91" spans="4:12" x14ac:dyDescent="0.35">
      <c r="J91" s="68"/>
    </row>
    <row r="92" spans="4:12" x14ac:dyDescent="0.35">
      <c r="H92" s="83" t="s">
        <v>58</v>
      </c>
      <c r="I92" s="83"/>
      <c r="J92" s="84">
        <f>J90+J87+J83+J79+J75+J67+J59</f>
        <v>15262443</v>
      </c>
    </row>
    <row r="94" spans="4:12" x14ac:dyDescent="0.35">
      <c r="D94" s="85" t="s">
        <v>82</v>
      </c>
      <c r="E94" s="85"/>
      <c r="F94" s="85"/>
      <c r="G94" s="85"/>
      <c r="H94" s="85"/>
    </row>
    <row r="95" spans="4:12" x14ac:dyDescent="0.35">
      <c r="D95" s="78" t="s">
        <v>42</v>
      </c>
      <c r="E95" s="78" t="s">
        <v>43</v>
      </c>
      <c r="F95" s="78" t="s">
        <v>79</v>
      </c>
      <c r="G95" s="78" t="s">
        <v>80</v>
      </c>
      <c r="H95" s="78" t="s">
        <v>81</v>
      </c>
    </row>
    <row r="96" spans="4:12" x14ac:dyDescent="0.35">
      <c r="D96" s="61" t="s">
        <v>14</v>
      </c>
      <c r="E96" s="61" t="s">
        <v>15</v>
      </c>
      <c r="F96" s="86">
        <f>H5</f>
        <v>66719</v>
      </c>
      <c r="G96" s="86">
        <f t="shared" ref="G96:G101" si="13">O5</f>
        <v>0</v>
      </c>
      <c r="H96" s="86">
        <f t="shared" ref="H96:H101" si="14">I5</f>
        <v>62349</v>
      </c>
    </row>
    <row r="97" spans="4:8" x14ac:dyDescent="0.35">
      <c r="D97" s="61" t="s">
        <v>14</v>
      </c>
      <c r="E97" s="61" t="s">
        <v>17</v>
      </c>
      <c r="F97" s="86">
        <f>H6</f>
        <v>0</v>
      </c>
      <c r="G97" s="86">
        <f t="shared" si="13"/>
        <v>0</v>
      </c>
      <c r="H97" s="86">
        <f t="shared" si="14"/>
        <v>0</v>
      </c>
    </row>
    <row r="98" spans="4:8" x14ac:dyDescent="0.35">
      <c r="D98" s="61" t="s">
        <v>14</v>
      </c>
      <c r="E98" s="61" t="s">
        <v>18</v>
      </c>
      <c r="F98" s="86">
        <f>H7</f>
        <v>250803</v>
      </c>
      <c r="G98" s="86">
        <f t="shared" si="13"/>
        <v>40685</v>
      </c>
      <c r="H98" s="86">
        <f t="shared" si="14"/>
        <v>241803</v>
      </c>
    </row>
    <row r="99" spans="4:8" x14ac:dyDescent="0.35">
      <c r="D99" s="61" t="s">
        <v>14</v>
      </c>
      <c r="E99" s="61" t="s">
        <v>19</v>
      </c>
      <c r="F99" s="86">
        <f>H8</f>
        <v>125333</v>
      </c>
      <c r="G99" s="86">
        <f t="shared" si="13"/>
        <v>51819</v>
      </c>
      <c r="H99" s="86">
        <f t="shared" si="14"/>
        <v>123480</v>
      </c>
    </row>
    <row r="100" spans="4:8" x14ac:dyDescent="0.35">
      <c r="D100" s="61" t="s">
        <v>14</v>
      </c>
      <c r="E100" s="61" t="s">
        <v>20</v>
      </c>
      <c r="F100" s="86">
        <f>H9</f>
        <v>82006</v>
      </c>
      <c r="G100" s="86">
        <f t="shared" si="13"/>
        <v>24320</v>
      </c>
      <c r="H100" s="86">
        <f t="shared" si="14"/>
        <v>24609</v>
      </c>
    </row>
    <row r="101" spans="4:8" x14ac:dyDescent="0.35">
      <c r="D101" s="61" t="s">
        <v>14</v>
      </c>
      <c r="E101" s="61" t="s">
        <v>21</v>
      </c>
      <c r="F101" s="86" t="e">
        <f>H10+#REF!</f>
        <v>#REF!</v>
      </c>
      <c r="G101" s="86">
        <f t="shared" si="13"/>
        <v>52049</v>
      </c>
      <c r="H101" s="86">
        <f t="shared" si="14"/>
        <v>81376</v>
      </c>
    </row>
    <row r="102" spans="4:8" x14ac:dyDescent="0.35">
      <c r="D102" s="87" t="s">
        <v>45</v>
      </c>
      <c r="E102" s="87"/>
      <c r="F102" s="88" t="e">
        <f>SUM(F96:F101)</f>
        <v>#REF!</v>
      </c>
      <c r="G102" s="88">
        <f t="shared" ref="G102" si="15">SUM(G96:G101)</f>
        <v>168873</v>
      </c>
      <c r="H102" s="88">
        <f>SUM(H96:H101)</f>
        <v>533617</v>
      </c>
    </row>
    <row r="103" spans="4:8" x14ac:dyDescent="0.35">
      <c r="D103" s="78" t="s">
        <v>42</v>
      </c>
      <c r="E103" s="78" t="s">
        <v>43</v>
      </c>
      <c r="F103" s="89" t="s">
        <v>79</v>
      </c>
      <c r="G103" s="89" t="s">
        <v>80</v>
      </c>
      <c r="H103" s="89" t="s">
        <v>81</v>
      </c>
    </row>
    <row r="104" spans="4:8" x14ac:dyDescent="0.35">
      <c r="D104" s="61" t="s">
        <v>46</v>
      </c>
      <c r="E104" s="61" t="s">
        <v>48</v>
      </c>
      <c r="F104" s="86">
        <f>H12</f>
        <v>86040</v>
      </c>
      <c r="G104" s="86">
        <f>O12</f>
        <v>26563</v>
      </c>
      <c r="H104" s="86">
        <f>I12</f>
        <v>30747</v>
      </c>
    </row>
    <row r="105" spans="4:8" x14ac:dyDescent="0.35">
      <c r="D105" s="61" t="s">
        <v>46</v>
      </c>
      <c r="E105" s="61" t="s">
        <v>47</v>
      </c>
      <c r="F105" s="86">
        <f>H13</f>
        <v>77661</v>
      </c>
      <c r="G105" s="86">
        <f>O13</f>
        <v>379090</v>
      </c>
      <c r="H105" s="86">
        <f>I13</f>
        <v>30614</v>
      </c>
    </row>
    <row r="106" spans="4:8" x14ac:dyDescent="0.35">
      <c r="D106" s="61" t="s">
        <v>27</v>
      </c>
      <c r="E106" s="61" t="s">
        <v>47</v>
      </c>
      <c r="F106" s="86">
        <v>0</v>
      </c>
      <c r="G106" s="86">
        <v>0</v>
      </c>
      <c r="H106" s="86">
        <v>0</v>
      </c>
    </row>
    <row r="107" spans="4:8" x14ac:dyDescent="0.35">
      <c r="D107" s="87" t="s">
        <v>45</v>
      </c>
      <c r="E107" s="87"/>
      <c r="F107" s="88">
        <f>SUM(F104:F106)</f>
        <v>163701</v>
      </c>
      <c r="G107" s="88">
        <f>SUM(G104:G106)</f>
        <v>405653</v>
      </c>
      <c r="H107" s="88">
        <f>SUM(H104:H106)</f>
        <v>61361</v>
      </c>
    </row>
    <row r="108" spans="4:8" x14ac:dyDescent="0.35">
      <c r="D108" s="78" t="s">
        <v>42</v>
      </c>
      <c r="E108" s="78" t="s">
        <v>43</v>
      </c>
      <c r="F108" s="89" t="s">
        <v>79</v>
      </c>
      <c r="G108" s="89" t="s">
        <v>80</v>
      </c>
      <c r="H108" s="89" t="s">
        <v>81</v>
      </c>
    </row>
    <row r="109" spans="4:8" x14ac:dyDescent="0.35">
      <c r="D109" s="61" t="s">
        <v>49</v>
      </c>
      <c r="E109" s="61" t="s">
        <v>51</v>
      </c>
      <c r="F109" s="86" t="e">
        <f>#REF!</f>
        <v>#REF!</v>
      </c>
      <c r="G109" s="86" t="e">
        <f>#REF!</f>
        <v>#REF!</v>
      </c>
      <c r="H109" s="86" t="e">
        <f>#REF!</f>
        <v>#REF!</v>
      </c>
    </row>
    <row r="110" spans="4:8" x14ac:dyDescent="0.35">
      <c r="D110" s="61" t="s">
        <v>49</v>
      </c>
      <c r="E110" s="61" t="s">
        <v>18</v>
      </c>
      <c r="F110" s="86">
        <f>H30</f>
        <v>0</v>
      </c>
      <c r="G110" s="86">
        <f>O30</f>
        <v>0</v>
      </c>
      <c r="H110" s="86">
        <v>0</v>
      </c>
    </row>
    <row r="111" spans="4:8" x14ac:dyDescent="0.35">
      <c r="D111" s="61" t="s">
        <v>49</v>
      </c>
      <c r="E111" s="61" t="s">
        <v>50</v>
      </c>
      <c r="F111" s="86" t="e">
        <f>#REF!+#REF!</f>
        <v>#REF!</v>
      </c>
      <c r="G111" s="86" t="e">
        <f>#REF!</f>
        <v>#REF!</v>
      </c>
      <c r="H111" s="86" t="e">
        <f>#REF!+#REF!</f>
        <v>#REF!</v>
      </c>
    </row>
    <row r="112" spans="4:8" x14ac:dyDescent="0.35">
      <c r="D112" s="87" t="s">
        <v>45</v>
      </c>
      <c r="E112" s="87"/>
      <c r="F112" s="88" t="e">
        <f>SUM(F109:F111)</f>
        <v>#REF!</v>
      </c>
      <c r="G112" s="88" t="e">
        <f>SUM(G109:G111)</f>
        <v>#REF!</v>
      </c>
      <c r="H112" s="88" t="e">
        <f>SUM(H109:H111)</f>
        <v>#REF!</v>
      </c>
    </row>
    <row r="113" spans="4:8" x14ac:dyDescent="0.35">
      <c r="D113" s="78" t="s">
        <v>42</v>
      </c>
      <c r="E113" s="78" t="s">
        <v>43</v>
      </c>
      <c r="F113" s="89" t="s">
        <v>79</v>
      </c>
      <c r="G113" s="89" t="s">
        <v>80</v>
      </c>
      <c r="H113" s="89" t="s">
        <v>81</v>
      </c>
    </row>
    <row r="114" spans="4:8" x14ac:dyDescent="0.35">
      <c r="D114" s="61" t="s">
        <v>52</v>
      </c>
      <c r="E114" s="61" t="s">
        <v>53</v>
      </c>
      <c r="F114" s="86">
        <f>H23</f>
        <v>0</v>
      </c>
      <c r="G114" s="86">
        <f>O23</f>
        <v>0</v>
      </c>
      <c r="H114" s="86">
        <f>I23</f>
        <v>0</v>
      </c>
    </row>
    <row r="115" spans="4:8" x14ac:dyDescent="0.35">
      <c r="D115" s="87" t="s">
        <v>45</v>
      </c>
      <c r="E115" s="87"/>
      <c r="F115" s="88">
        <f>SUM(F114)</f>
        <v>0</v>
      </c>
      <c r="G115" s="88">
        <f t="shared" ref="G115" si="16">SUM(G114)</f>
        <v>0</v>
      </c>
      <c r="H115" s="88">
        <f>SUM(H114)</f>
        <v>0</v>
      </c>
    </row>
    <row r="116" spans="4:8" x14ac:dyDescent="0.35">
      <c r="D116" s="78" t="s">
        <v>42</v>
      </c>
      <c r="E116" s="78" t="s">
        <v>43</v>
      </c>
      <c r="F116" s="89" t="s">
        <v>79</v>
      </c>
      <c r="G116" s="89" t="s">
        <v>80</v>
      </c>
      <c r="H116" s="89" t="s">
        <v>81</v>
      </c>
    </row>
    <row r="117" spans="4:8" x14ac:dyDescent="0.35">
      <c r="D117" s="61" t="s">
        <v>54</v>
      </c>
      <c r="E117" s="61" t="s">
        <v>53</v>
      </c>
      <c r="F117" s="86">
        <f>H26</f>
        <v>0</v>
      </c>
      <c r="G117" s="86">
        <f>O26</f>
        <v>0</v>
      </c>
      <c r="H117" s="86">
        <f>I26</f>
        <v>0</v>
      </c>
    </row>
    <row r="118" spans="4:8" x14ac:dyDescent="0.35">
      <c r="D118" s="61" t="s">
        <v>54</v>
      </c>
      <c r="E118" s="61" t="s">
        <v>18</v>
      </c>
      <c r="F118" s="86">
        <f>H27</f>
        <v>0</v>
      </c>
      <c r="G118" s="86">
        <f>O27</f>
        <v>0</v>
      </c>
      <c r="H118" s="86">
        <f>I27</f>
        <v>0</v>
      </c>
    </row>
    <row r="119" spans="4:8" x14ac:dyDescent="0.35">
      <c r="D119" s="87" t="s">
        <v>45</v>
      </c>
      <c r="E119" s="87"/>
      <c r="F119" s="88">
        <f>SUM(F117:F118)</f>
        <v>0</v>
      </c>
      <c r="G119" s="88">
        <f t="shared" ref="G119" si="17">SUM(G117:G118)</f>
        <v>0</v>
      </c>
      <c r="H119" s="88">
        <f>SUM(H117:H118)</f>
        <v>0</v>
      </c>
    </row>
    <row r="120" spans="4:8" x14ac:dyDescent="0.35">
      <c r="D120" s="90"/>
      <c r="E120" s="90"/>
      <c r="F120" s="91" t="e">
        <f>F119+F115+F112+F107+F102</f>
        <v>#REF!</v>
      </c>
      <c r="G120" s="91" t="e">
        <f t="shared" ref="G120" si="18">G119+G115+G112+G107+G102</f>
        <v>#REF!</v>
      </c>
      <c r="H120" s="91" t="e">
        <f>H119+H115+H112+H107+H102</f>
        <v>#REF!</v>
      </c>
    </row>
  </sheetData>
  <mergeCells count="43">
    <mergeCell ref="M46:O46"/>
    <mergeCell ref="C2:O2"/>
    <mergeCell ref="C3:O3"/>
    <mergeCell ref="H36:I36"/>
    <mergeCell ref="K37:L37"/>
    <mergeCell ref="M37:O37"/>
    <mergeCell ref="C38:D38"/>
    <mergeCell ref="K38:L38"/>
    <mergeCell ref="K39:L39"/>
    <mergeCell ref="K40:L40"/>
    <mergeCell ref="K41:L41"/>
    <mergeCell ref="K42:L42"/>
    <mergeCell ref="K46:L46"/>
    <mergeCell ref="K47:L47"/>
    <mergeCell ref="M47:O47"/>
    <mergeCell ref="K48:L48"/>
    <mergeCell ref="M48:O48"/>
    <mergeCell ref="K49:L49"/>
    <mergeCell ref="M49:O49"/>
    <mergeCell ref="D61:E61"/>
    <mergeCell ref="K50:L50"/>
    <mergeCell ref="M50:O50"/>
    <mergeCell ref="H51:J51"/>
    <mergeCell ref="K51:K52"/>
    <mergeCell ref="C54:E54"/>
    <mergeCell ref="C55:E55"/>
    <mergeCell ref="D56:E56"/>
    <mergeCell ref="D57:E57"/>
    <mergeCell ref="D58:E58"/>
    <mergeCell ref="D59:E59"/>
    <mergeCell ref="D60:E60"/>
    <mergeCell ref="D73:E73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</mergeCell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6"/>
  <sheetViews>
    <sheetView zoomScale="58" zoomScaleNormal="58" workbookViewId="0">
      <selection activeCell="F61" sqref="F61"/>
    </sheetView>
  </sheetViews>
  <sheetFormatPr defaultRowHeight="23.25" x14ac:dyDescent="0.35"/>
  <cols>
    <col min="1" max="1" width="5.5703125" style="104" customWidth="1"/>
    <col min="2" max="2" width="0.140625" style="104" hidden="1" customWidth="1"/>
    <col min="3" max="3" width="20.85546875" style="104" customWidth="1"/>
    <col min="4" max="4" width="26.42578125" style="104" customWidth="1"/>
    <col min="5" max="5" width="18.140625" style="104" customWidth="1"/>
    <col min="6" max="6" width="32.28515625" style="104" bestFit="1" customWidth="1"/>
    <col min="7" max="7" width="21" style="104" customWidth="1"/>
    <col min="8" max="8" width="22.85546875" style="104" customWidth="1"/>
    <col min="9" max="9" width="23.5703125" style="104" customWidth="1"/>
    <col min="10" max="10" width="21.42578125" style="104" customWidth="1"/>
    <col min="11" max="11" width="21.28515625" style="104" customWidth="1"/>
    <col min="12" max="12" width="22.5703125" style="104" customWidth="1"/>
    <col min="13" max="13" width="26.42578125" style="104" customWidth="1"/>
    <col min="14" max="14" width="17.5703125" style="104" customWidth="1"/>
    <col min="15" max="15" width="22" style="104" customWidth="1"/>
    <col min="16" max="16" width="7.5703125" style="104" customWidth="1"/>
    <col min="17" max="17" width="14.28515625" style="104" bestFit="1" customWidth="1"/>
    <col min="18" max="18" width="11.42578125" style="104" customWidth="1"/>
    <col min="19" max="16384" width="9.140625" style="104"/>
  </cols>
  <sheetData>
    <row r="2" spans="1:16" x14ac:dyDescent="0.35">
      <c r="C2" s="246">
        <v>46095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8"/>
    </row>
    <row r="3" spans="1:16" x14ac:dyDescent="0.35">
      <c r="C3" s="249" t="s">
        <v>0</v>
      </c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6" ht="93" x14ac:dyDescent="0.35">
      <c r="A4" s="105"/>
      <c r="C4" s="106" t="s">
        <v>1</v>
      </c>
      <c r="D4" s="106" t="s">
        <v>2</v>
      </c>
      <c r="E4" s="106" t="s">
        <v>3</v>
      </c>
      <c r="F4" s="106" t="s">
        <v>4</v>
      </c>
      <c r="G4" s="106" t="s">
        <v>5</v>
      </c>
      <c r="H4" s="106" t="s">
        <v>6</v>
      </c>
      <c r="I4" s="106" t="s">
        <v>7</v>
      </c>
      <c r="J4" s="106" t="s">
        <v>8</v>
      </c>
      <c r="K4" s="107" t="s">
        <v>9</v>
      </c>
      <c r="L4" s="107" t="s">
        <v>10</v>
      </c>
      <c r="M4" s="108" t="s">
        <v>11</v>
      </c>
      <c r="N4" s="109" t="s">
        <v>12</v>
      </c>
      <c r="O4" s="106" t="s">
        <v>13</v>
      </c>
    </row>
    <row r="5" spans="1:16" x14ac:dyDescent="0.35">
      <c r="A5" s="110"/>
      <c r="C5" s="111" t="s">
        <v>14</v>
      </c>
      <c r="D5" s="112" t="s">
        <v>15</v>
      </c>
      <c r="E5" s="113" t="s">
        <v>95</v>
      </c>
      <c r="F5" s="114">
        <v>0</v>
      </c>
      <c r="G5" s="114">
        <v>0</v>
      </c>
      <c r="H5" s="115">
        <f>F5-G5</f>
        <v>0</v>
      </c>
      <c r="I5" s="115">
        <f>H5-J5</f>
        <v>0</v>
      </c>
      <c r="J5" s="116">
        <v>0</v>
      </c>
      <c r="K5" s="117">
        <v>0</v>
      </c>
      <c r="L5" s="116">
        <v>0</v>
      </c>
      <c r="M5" s="114">
        <f>'12-03-2026'!J53</f>
        <v>380875</v>
      </c>
      <c r="N5" s="117">
        <v>0</v>
      </c>
      <c r="O5" s="118">
        <v>36370</v>
      </c>
      <c r="P5" s="119"/>
    </row>
    <row r="6" spans="1:16" x14ac:dyDescent="0.35">
      <c r="A6" s="110"/>
      <c r="C6" s="111" t="s">
        <v>14</v>
      </c>
      <c r="D6" s="112" t="s">
        <v>17</v>
      </c>
      <c r="E6" s="113" t="s">
        <v>98</v>
      </c>
      <c r="F6" s="114">
        <v>561406</v>
      </c>
      <c r="G6" s="114">
        <v>0</v>
      </c>
      <c r="H6" s="115">
        <f t="shared" ref="H6:H10" si="0">F6-G6</f>
        <v>561406</v>
      </c>
      <c r="I6" s="115">
        <f t="shared" ref="I6:I10" si="1">H6-J6</f>
        <v>561406</v>
      </c>
      <c r="J6" s="116">
        <v>0</v>
      </c>
      <c r="K6" s="117">
        <v>0</v>
      </c>
      <c r="L6" s="116">
        <v>0</v>
      </c>
      <c r="M6" s="114">
        <f>'12-03-2026'!J54</f>
        <v>3500290</v>
      </c>
      <c r="N6" s="117">
        <v>0</v>
      </c>
      <c r="O6" s="118">
        <v>902029</v>
      </c>
    </row>
    <row r="7" spans="1:16" x14ac:dyDescent="0.35">
      <c r="A7" s="110"/>
      <c r="C7" s="111" t="s">
        <v>14</v>
      </c>
      <c r="D7" s="112" t="s">
        <v>18</v>
      </c>
      <c r="E7" s="113" t="s">
        <v>97</v>
      </c>
      <c r="F7" s="114">
        <v>92914</v>
      </c>
      <c r="G7" s="114">
        <v>0</v>
      </c>
      <c r="H7" s="115">
        <f t="shared" si="0"/>
        <v>92914</v>
      </c>
      <c r="I7" s="115">
        <f t="shared" si="1"/>
        <v>12332</v>
      </c>
      <c r="J7" s="116">
        <v>80582</v>
      </c>
      <c r="K7" s="117">
        <v>0</v>
      </c>
      <c r="L7" s="116">
        <v>0</v>
      </c>
      <c r="M7" s="114">
        <f>'12-03-2026'!J55</f>
        <v>1894568</v>
      </c>
      <c r="N7" s="117">
        <v>0</v>
      </c>
      <c r="O7" s="118">
        <v>60249</v>
      </c>
    </row>
    <row r="8" spans="1:16" x14ac:dyDescent="0.35">
      <c r="A8" s="110"/>
      <c r="C8" s="111" t="s">
        <v>14</v>
      </c>
      <c r="D8" s="112" t="s">
        <v>19</v>
      </c>
      <c r="E8" s="113" t="s">
        <v>95</v>
      </c>
      <c r="F8" s="114">
        <v>152750</v>
      </c>
      <c r="G8" s="114">
        <v>0</v>
      </c>
      <c r="H8" s="115">
        <f t="shared" si="0"/>
        <v>152750</v>
      </c>
      <c r="I8" s="115">
        <f t="shared" si="1"/>
        <v>150220</v>
      </c>
      <c r="J8" s="116">
        <v>2530</v>
      </c>
      <c r="K8" s="117">
        <v>0</v>
      </c>
      <c r="L8" s="116">
        <v>0</v>
      </c>
      <c r="M8" s="114">
        <f>'12-03-2026'!J56</f>
        <v>1193416</v>
      </c>
      <c r="N8" s="117">
        <v>0</v>
      </c>
      <c r="O8" s="118">
        <v>87172</v>
      </c>
    </row>
    <row r="9" spans="1:16" x14ac:dyDescent="0.35">
      <c r="A9" s="110"/>
      <c r="C9" s="111" t="s">
        <v>14</v>
      </c>
      <c r="D9" s="112" t="s">
        <v>20</v>
      </c>
      <c r="E9" s="113" t="s">
        <v>97</v>
      </c>
      <c r="F9" s="114">
        <v>105921</v>
      </c>
      <c r="G9" s="114">
        <v>0</v>
      </c>
      <c r="H9" s="115">
        <f t="shared" si="0"/>
        <v>105921</v>
      </c>
      <c r="I9" s="115">
        <f t="shared" si="1"/>
        <v>45154</v>
      </c>
      <c r="J9" s="116">
        <v>60767</v>
      </c>
      <c r="K9" s="117">
        <v>0</v>
      </c>
      <c r="L9" s="116">
        <v>0</v>
      </c>
      <c r="M9" s="114">
        <f>'12-03-2026'!J57</f>
        <v>1307227</v>
      </c>
      <c r="N9" s="117">
        <v>0</v>
      </c>
      <c r="O9" s="118">
        <v>47961</v>
      </c>
    </row>
    <row r="10" spans="1:16" x14ac:dyDescent="0.35">
      <c r="A10" s="110"/>
      <c r="C10" s="111" t="s">
        <v>14</v>
      </c>
      <c r="D10" s="112" t="s">
        <v>21</v>
      </c>
      <c r="E10" s="113" t="s">
        <v>95</v>
      </c>
      <c r="F10" s="114">
        <v>91645</v>
      </c>
      <c r="G10" s="114">
        <v>0</v>
      </c>
      <c r="H10" s="115">
        <f t="shared" si="0"/>
        <v>91645</v>
      </c>
      <c r="I10" s="115">
        <f t="shared" si="1"/>
        <v>78675</v>
      </c>
      <c r="J10" s="116">
        <v>12970</v>
      </c>
      <c r="K10" s="117">
        <v>0</v>
      </c>
      <c r="L10" s="116">
        <v>0</v>
      </c>
      <c r="M10" s="114">
        <f>'12-03-2026'!J58</f>
        <v>756687</v>
      </c>
      <c r="N10" s="117">
        <v>0</v>
      </c>
      <c r="O10" s="118">
        <v>0</v>
      </c>
    </row>
    <row r="11" spans="1:16" x14ac:dyDescent="0.35">
      <c r="A11" s="120"/>
      <c r="C11" s="106" t="s">
        <v>22</v>
      </c>
      <c r="D11" s="106"/>
      <c r="E11" s="106"/>
      <c r="F11" s="121">
        <f t="shared" ref="F11:O11" si="2">SUM(F5:F10)</f>
        <v>1004636</v>
      </c>
      <c r="G11" s="121">
        <f t="shared" si="2"/>
        <v>0</v>
      </c>
      <c r="H11" s="121">
        <f t="shared" si="2"/>
        <v>1004636</v>
      </c>
      <c r="I11" s="121">
        <f t="shared" si="2"/>
        <v>847787</v>
      </c>
      <c r="J11" s="121">
        <f t="shared" si="2"/>
        <v>156849</v>
      </c>
      <c r="K11" s="121">
        <f t="shared" si="2"/>
        <v>0</v>
      </c>
      <c r="L11" s="121">
        <f t="shared" si="2"/>
        <v>0</v>
      </c>
      <c r="M11" s="121">
        <f>SUM(M5:M10)</f>
        <v>9033063</v>
      </c>
      <c r="N11" s="121">
        <f t="shared" si="2"/>
        <v>0</v>
      </c>
      <c r="O11" s="121">
        <f t="shared" si="2"/>
        <v>1133781</v>
      </c>
    </row>
    <row r="12" spans="1:16" x14ac:dyDescent="0.35">
      <c r="C12" s="111" t="s">
        <v>23</v>
      </c>
      <c r="D12" s="112" t="s">
        <v>24</v>
      </c>
      <c r="E12" s="113" t="s">
        <v>85</v>
      </c>
      <c r="F12" s="114">
        <v>68184</v>
      </c>
      <c r="G12" s="114">
        <v>863</v>
      </c>
      <c r="H12" s="115">
        <f t="shared" ref="H12:H29" si="3">F12-G12</f>
        <v>67321</v>
      </c>
      <c r="I12" s="115">
        <f t="shared" ref="I12:I29" si="4">H12-J12</f>
        <v>13612</v>
      </c>
      <c r="J12" s="116">
        <v>53709</v>
      </c>
      <c r="K12" s="117">
        <v>0</v>
      </c>
      <c r="L12" s="116">
        <v>0</v>
      </c>
      <c r="M12" s="114">
        <f>'12-03-2026'!J62</f>
        <v>469169</v>
      </c>
      <c r="N12" s="117">
        <v>0</v>
      </c>
      <c r="O12" s="116">
        <v>40437</v>
      </c>
    </row>
    <row r="13" spans="1:16" x14ac:dyDescent="0.35">
      <c r="C13" s="111" t="s">
        <v>23</v>
      </c>
      <c r="D13" s="112" t="s">
        <v>25</v>
      </c>
      <c r="E13" s="113" t="s">
        <v>85</v>
      </c>
      <c r="F13" s="114">
        <v>79165</v>
      </c>
      <c r="G13" s="114">
        <v>1335</v>
      </c>
      <c r="H13" s="115">
        <f t="shared" si="3"/>
        <v>77830</v>
      </c>
      <c r="I13" s="115">
        <f t="shared" si="4"/>
        <v>41488</v>
      </c>
      <c r="J13" s="116">
        <v>36342</v>
      </c>
      <c r="K13" s="117">
        <v>0</v>
      </c>
      <c r="L13" s="116">
        <v>0</v>
      </c>
      <c r="M13" s="114">
        <f>'12-03-2026'!J63</f>
        <v>1657361</v>
      </c>
      <c r="N13" s="117">
        <v>0</v>
      </c>
      <c r="O13" s="116">
        <v>59580</v>
      </c>
    </row>
    <row r="14" spans="1:16" x14ac:dyDescent="0.35">
      <c r="C14" s="111" t="s">
        <v>23</v>
      </c>
      <c r="D14" s="112" t="s">
        <v>26</v>
      </c>
      <c r="E14" s="113" t="s">
        <v>85</v>
      </c>
      <c r="F14" s="114">
        <v>71375</v>
      </c>
      <c r="G14" s="114">
        <v>1641</v>
      </c>
      <c r="H14" s="115">
        <f t="shared" si="3"/>
        <v>69734</v>
      </c>
      <c r="I14" s="115">
        <f t="shared" si="4"/>
        <v>69734</v>
      </c>
      <c r="J14" s="116">
        <v>0</v>
      </c>
      <c r="K14" s="117">
        <v>0</v>
      </c>
      <c r="L14" s="116">
        <v>0</v>
      </c>
      <c r="M14" s="114">
        <f>'12-03-2026'!J64</f>
        <v>482869</v>
      </c>
      <c r="N14" s="117">
        <v>0</v>
      </c>
      <c r="O14" s="116">
        <v>0</v>
      </c>
    </row>
    <row r="15" spans="1:16" x14ac:dyDescent="0.35">
      <c r="C15" s="111" t="s">
        <v>23</v>
      </c>
      <c r="D15" s="112" t="s">
        <v>20</v>
      </c>
      <c r="E15" s="113" t="s">
        <v>97</v>
      </c>
      <c r="F15" s="114">
        <v>76641</v>
      </c>
      <c r="G15" s="114">
        <v>0</v>
      </c>
      <c r="H15" s="115">
        <f t="shared" si="3"/>
        <v>76641</v>
      </c>
      <c r="I15" s="115">
        <f t="shared" si="4"/>
        <v>0</v>
      </c>
      <c r="J15" s="116">
        <v>76641</v>
      </c>
      <c r="K15" s="117">
        <v>0</v>
      </c>
      <c r="L15" s="116">
        <v>0</v>
      </c>
      <c r="M15" s="114">
        <f>'12-03-2026'!J65</f>
        <v>8160</v>
      </c>
      <c r="N15" s="117">
        <v>0</v>
      </c>
      <c r="O15" s="116">
        <v>0</v>
      </c>
    </row>
    <row r="16" spans="1:16" x14ac:dyDescent="0.35">
      <c r="C16" s="111" t="s">
        <v>23</v>
      </c>
      <c r="D16" s="112" t="s">
        <v>18</v>
      </c>
      <c r="E16" s="113" t="s">
        <v>97</v>
      </c>
      <c r="F16" s="114">
        <v>21749</v>
      </c>
      <c r="G16" s="114">
        <v>0</v>
      </c>
      <c r="H16" s="115">
        <f t="shared" si="3"/>
        <v>21749</v>
      </c>
      <c r="I16" s="115">
        <f t="shared" si="4"/>
        <v>0</v>
      </c>
      <c r="J16" s="116">
        <v>21749</v>
      </c>
      <c r="K16" s="117">
        <v>0</v>
      </c>
      <c r="L16" s="116">
        <v>0</v>
      </c>
      <c r="M16" s="114">
        <v>0</v>
      </c>
      <c r="N16" s="117">
        <v>0</v>
      </c>
      <c r="O16" s="116">
        <v>0</v>
      </c>
    </row>
    <row r="17" spans="3:15" x14ac:dyDescent="0.35">
      <c r="C17" s="111" t="s">
        <v>23</v>
      </c>
      <c r="D17" s="106"/>
      <c r="E17" s="106"/>
      <c r="F17" s="121">
        <f>SUM(F12:F16)</f>
        <v>317114</v>
      </c>
      <c r="G17" s="121">
        <f>SUM(G12:G16)</f>
        <v>3839</v>
      </c>
      <c r="H17" s="121">
        <f>SUM(H12:H15)</f>
        <v>291526</v>
      </c>
      <c r="I17" s="121">
        <f>SUM(I12:I15)</f>
        <v>124834</v>
      </c>
      <c r="J17" s="121">
        <f>SUM(J12:J16)</f>
        <v>188441</v>
      </c>
      <c r="K17" s="121">
        <f>SUM(K12:K15)</f>
        <v>0</v>
      </c>
      <c r="L17" s="121">
        <f>SUM(L12:L15)</f>
        <v>0</v>
      </c>
      <c r="M17" s="121">
        <f>SUM(M12:M16)</f>
        <v>2617559</v>
      </c>
      <c r="N17" s="121">
        <f>SUM(N12:N15)</f>
        <v>0</v>
      </c>
      <c r="O17" s="121">
        <f>SUM(O12:O16)</f>
        <v>100017</v>
      </c>
    </row>
    <row r="18" spans="3:15" x14ac:dyDescent="0.35">
      <c r="C18" s="111" t="s">
        <v>27</v>
      </c>
      <c r="D18" s="112" t="s">
        <v>25</v>
      </c>
      <c r="E18" s="113" t="s">
        <v>16</v>
      </c>
      <c r="F18" s="114">
        <v>0</v>
      </c>
      <c r="G18" s="114">
        <v>0</v>
      </c>
      <c r="H18" s="115">
        <f t="shared" si="3"/>
        <v>0</v>
      </c>
      <c r="I18" s="115">
        <f t="shared" si="4"/>
        <v>0</v>
      </c>
      <c r="J18" s="116">
        <v>0</v>
      </c>
      <c r="K18" s="117">
        <v>0</v>
      </c>
      <c r="L18" s="116">
        <v>0</v>
      </c>
      <c r="M18" s="114">
        <f>'12-03-2026'!J66</f>
        <v>51257</v>
      </c>
      <c r="N18" s="117">
        <v>0</v>
      </c>
      <c r="O18" s="116">
        <v>0</v>
      </c>
    </row>
    <row r="19" spans="3:15" x14ac:dyDescent="0.35">
      <c r="C19" s="106"/>
      <c r="D19" s="106"/>
      <c r="E19" s="106"/>
      <c r="F19" s="121">
        <f>SUM(F18)</f>
        <v>0</v>
      </c>
      <c r="G19" s="121">
        <f t="shared" ref="G19:O19" si="5">SUM(G18)</f>
        <v>0</v>
      </c>
      <c r="H19" s="121">
        <f t="shared" si="5"/>
        <v>0</v>
      </c>
      <c r="I19" s="121">
        <f t="shared" si="5"/>
        <v>0</v>
      </c>
      <c r="J19" s="121">
        <f t="shared" si="5"/>
        <v>0</v>
      </c>
      <c r="K19" s="121">
        <f t="shared" si="5"/>
        <v>0</v>
      </c>
      <c r="L19" s="121">
        <f t="shared" si="5"/>
        <v>0</v>
      </c>
      <c r="M19" s="121">
        <f t="shared" si="5"/>
        <v>51257</v>
      </c>
      <c r="N19" s="121">
        <f t="shared" si="5"/>
        <v>0</v>
      </c>
      <c r="O19" s="121">
        <f t="shared" si="5"/>
        <v>0</v>
      </c>
    </row>
    <row r="20" spans="3:15" x14ac:dyDescent="0.35">
      <c r="C20" s="111" t="s">
        <v>28</v>
      </c>
      <c r="D20" s="112" t="s">
        <v>29</v>
      </c>
      <c r="E20" s="113" t="s">
        <v>16</v>
      </c>
      <c r="F20" s="114">
        <v>0</v>
      </c>
      <c r="G20" s="114">
        <v>0</v>
      </c>
      <c r="H20" s="115">
        <f t="shared" si="3"/>
        <v>0</v>
      </c>
      <c r="I20" s="115">
        <f t="shared" si="4"/>
        <v>0</v>
      </c>
      <c r="J20" s="116">
        <v>0</v>
      </c>
      <c r="K20" s="117">
        <v>0</v>
      </c>
      <c r="L20" s="116">
        <v>0</v>
      </c>
      <c r="M20" s="114">
        <f>'12-03-2026'!J77</f>
        <v>33969</v>
      </c>
      <c r="N20" s="117">
        <v>0</v>
      </c>
      <c r="O20" s="116">
        <v>0</v>
      </c>
    </row>
    <row r="21" spans="3:15" x14ac:dyDescent="0.35">
      <c r="C21" s="111" t="s">
        <v>28</v>
      </c>
      <c r="D21" s="112" t="s">
        <v>25</v>
      </c>
      <c r="E21" s="113" t="s">
        <v>84</v>
      </c>
      <c r="F21" s="114">
        <v>0</v>
      </c>
      <c r="G21" s="114">
        <v>0</v>
      </c>
      <c r="H21" s="115">
        <f t="shared" si="3"/>
        <v>0</v>
      </c>
      <c r="I21" s="115">
        <f t="shared" si="4"/>
        <v>0</v>
      </c>
      <c r="J21" s="116">
        <v>0</v>
      </c>
      <c r="K21" s="117">
        <v>0</v>
      </c>
      <c r="L21" s="116">
        <v>0</v>
      </c>
      <c r="M21" s="114">
        <f>'12-03-2026'!J78</f>
        <v>151366</v>
      </c>
      <c r="N21" s="117">
        <v>0</v>
      </c>
      <c r="O21" s="116">
        <v>0</v>
      </c>
    </row>
    <row r="22" spans="3:15" x14ac:dyDescent="0.35">
      <c r="C22" s="106" t="s">
        <v>22</v>
      </c>
      <c r="D22" s="106"/>
      <c r="E22" s="106"/>
      <c r="F22" s="121">
        <f t="shared" ref="F22:L22" si="6">SUM(F20:F21)</f>
        <v>0</v>
      </c>
      <c r="G22" s="121">
        <f t="shared" si="6"/>
        <v>0</v>
      </c>
      <c r="H22" s="121">
        <f t="shared" si="6"/>
        <v>0</v>
      </c>
      <c r="I22" s="121">
        <f t="shared" si="6"/>
        <v>0</v>
      </c>
      <c r="J22" s="121">
        <f t="shared" si="6"/>
        <v>0</v>
      </c>
      <c r="K22" s="121">
        <f>SUM(K20:K21)</f>
        <v>0</v>
      </c>
      <c r="L22" s="121">
        <f t="shared" si="6"/>
        <v>0</v>
      </c>
      <c r="M22" s="121">
        <f>SUM(M20:M21)</f>
        <v>185335</v>
      </c>
      <c r="N22" s="121">
        <f t="shared" ref="N22:O22" si="7">SUM(N20:N21)</f>
        <v>0</v>
      </c>
      <c r="O22" s="121">
        <f t="shared" si="7"/>
        <v>0</v>
      </c>
    </row>
    <row r="23" spans="3:15" x14ac:dyDescent="0.35">
      <c r="C23" s="111" t="s">
        <v>30</v>
      </c>
      <c r="D23" s="112" t="s">
        <v>29</v>
      </c>
      <c r="E23" s="113" t="s">
        <v>16</v>
      </c>
      <c r="F23" s="122">
        <v>0</v>
      </c>
      <c r="G23" s="122">
        <v>0</v>
      </c>
      <c r="H23" s="115">
        <f t="shared" si="3"/>
        <v>0</v>
      </c>
      <c r="I23" s="115">
        <f t="shared" si="4"/>
        <v>0</v>
      </c>
      <c r="J23" s="123">
        <v>0</v>
      </c>
      <c r="K23" s="124">
        <v>0</v>
      </c>
      <c r="L23" s="123">
        <v>0</v>
      </c>
      <c r="M23" s="122">
        <f>'12-03-2026'!J81</f>
        <v>89658</v>
      </c>
      <c r="N23" s="124">
        <v>0</v>
      </c>
      <c r="O23" s="123">
        <v>0</v>
      </c>
    </row>
    <row r="24" spans="3:15" x14ac:dyDescent="0.35">
      <c r="C24" s="111" t="s">
        <v>30</v>
      </c>
      <c r="D24" s="112" t="s">
        <v>31</v>
      </c>
      <c r="E24" s="113" t="s">
        <v>16</v>
      </c>
      <c r="F24" s="122">
        <v>0</v>
      </c>
      <c r="G24" s="122">
        <v>0</v>
      </c>
      <c r="H24" s="115">
        <f t="shared" si="3"/>
        <v>0</v>
      </c>
      <c r="I24" s="115">
        <f t="shared" si="4"/>
        <v>0</v>
      </c>
      <c r="J24" s="123">
        <v>0</v>
      </c>
      <c r="K24" s="124">
        <v>0</v>
      </c>
      <c r="L24" s="123">
        <v>0</v>
      </c>
      <c r="M24" s="122">
        <f>'12-03-2026'!J82</f>
        <v>17000</v>
      </c>
      <c r="N24" s="124">
        <v>0</v>
      </c>
      <c r="O24" s="123">
        <v>0</v>
      </c>
    </row>
    <row r="25" spans="3:15" x14ac:dyDescent="0.35">
      <c r="C25" s="106" t="s">
        <v>22</v>
      </c>
      <c r="D25" s="106"/>
      <c r="E25" s="106"/>
      <c r="F25" s="121">
        <f>SUM(F23:F24)</f>
        <v>0</v>
      </c>
      <c r="G25" s="121">
        <f t="shared" ref="G25:O25" si="8">SUM(G23:G24)</f>
        <v>0</v>
      </c>
      <c r="H25" s="121">
        <f t="shared" si="8"/>
        <v>0</v>
      </c>
      <c r="I25" s="121">
        <f t="shared" si="8"/>
        <v>0</v>
      </c>
      <c r="J25" s="121">
        <f t="shared" si="8"/>
        <v>0</v>
      </c>
      <c r="K25" s="121">
        <f t="shared" si="8"/>
        <v>0</v>
      </c>
      <c r="L25" s="121">
        <f t="shared" si="8"/>
        <v>0</v>
      </c>
      <c r="M25" s="121">
        <f t="shared" si="8"/>
        <v>106658</v>
      </c>
      <c r="N25" s="121">
        <f t="shared" si="8"/>
        <v>0</v>
      </c>
      <c r="O25" s="121">
        <f t="shared" si="8"/>
        <v>0</v>
      </c>
    </row>
    <row r="26" spans="3:15" x14ac:dyDescent="0.35">
      <c r="C26" s="111" t="s">
        <v>32</v>
      </c>
      <c r="D26" s="112" t="s">
        <v>33</v>
      </c>
      <c r="E26" s="113" t="s">
        <v>97</v>
      </c>
      <c r="F26" s="125">
        <v>130024</v>
      </c>
      <c r="G26" s="114">
        <v>0</v>
      </c>
      <c r="H26" s="115">
        <f t="shared" si="3"/>
        <v>130024</v>
      </c>
      <c r="I26" s="115">
        <f t="shared" si="4"/>
        <v>126932</v>
      </c>
      <c r="J26" s="116">
        <v>3092</v>
      </c>
      <c r="K26" s="117">
        <v>0</v>
      </c>
      <c r="L26" s="116">
        <v>0</v>
      </c>
      <c r="M26" s="114">
        <f>'12-03-2026'!J69</f>
        <v>1409360</v>
      </c>
      <c r="N26" s="117">
        <v>0</v>
      </c>
      <c r="O26" s="116">
        <v>84453</v>
      </c>
    </row>
    <row r="27" spans="3:15" x14ac:dyDescent="0.35">
      <c r="C27" s="111" t="s">
        <v>32</v>
      </c>
      <c r="D27" s="112" t="s">
        <v>31</v>
      </c>
      <c r="E27" s="113" t="s">
        <v>16</v>
      </c>
      <c r="F27" s="125">
        <v>0</v>
      </c>
      <c r="G27" s="114">
        <v>0</v>
      </c>
      <c r="H27" s="115">
        <f t="shared" si="3"/>
        <v>0</v>
      </c>
      <c r="I27" s="115">
        <f t="shared" si="4"/>
        <v>0</v>
      </c>
      <c r="J27" s="116">
        <v>0</v>
      </c>
      <c r="K27" s="117">
        <v>0</v>
      </c>
      <c r="L27" s="116">
        <v>0</v>
      </c>
      <c r="M27" s="114">
        <f>'12-03-2026'!J70</f>
        <v>174473</v>
      </c>
      <c r="N27" s="117">
        <v>0</v>
      </c>
      <c r="O27" s="116">
        <v>0</v>
      </c>
    </row>
    <row r="28" spans="3:15" x14ac:dyDescent="0.35">
      <c r="C28" s="111" t="s">
        <v>32</v>
      </c>
      <c r="D28" s="112" t="s">
        <v>26</v>
      </c>
      <c r="E28" s="113" t="s">
        <v>16</v>
      </c>
      <c r="F28" s="125">
        <v>0</v>
      </c>
      <c r="G28" s="114">
        <v>0</v>
      </c>
      <c r="H28" s="115">
        <f t="shared" si="3"/>
        <v>0</v>
      </c>
      <c r="I28" s="115">
        <f t="shared" si="4"/>
        <v>0</v>
      </c>
      <c r="J28" s="116">
        <v>0</v>
      </c>
      <c r="K28" s="117">
        <v>0</v>
      </c>
      <c r="L28" s="116">
        <v>0</v>
      </c>
      <c r="M28" s="114">
        <f>'12-03-2026'!J71</f>
        <v>35126</v>
      </c>
      <c r="N28" s="117">
        <v>0</v>
      </c>
      <c r="O28" s="116">
        <v>0</v>
      </c>
    </row>
    <row r="29" spans="3:15" x14ac:dyDescent="0.35">
      <c r="C29" s="111" t="s">
        <v>32</v>
      </c>
      <c r="D29" s="112" t="s">
        <v>34</v>
      </c>
      <c r="E29" s="113" t="s">
        <v>86</v>
      </c>
      <c r="F29" s="125">
        <v>0</v>
      </c>
      <c r="G29" s="114">
        <v>0</v>
      </c>
      <c r="H29" s="115">
        <f t="shared" si="3"/>
        <v>0</v>
      </c>
      <c r="I29" s="115">
        <f t="shared" si="4"/>
        <v>0</v>
      </c>
      <c r="J29" s="116">
        <v>0</v>
      </c>
      <c r="K29" s="117">
        <v>0</v>
      </c>
      <c r="L29" s="116">
        <v>0</v>
      </c>
      <c r="M29" s="114">
        <f>'12-03-2026'!J72</f>
        <v>1434002</v>
      </c>
      <c r="N29" s="117">
        <v>0</v>
      </c>
      <c r="O29" s="116">
        <v>56331</v>
      </c>
    </row>
    <row r="30" spans="3:15" x14ac:dyDescent="0.35">
      <c r="C30" s="106" t="s">
        <v>22</v>
      </c>
      <c r="D30" s="106"/>
      <c r="E30" s="106"/>
      <c r="F30" s="121">
        <f t="shared" ref="F30:O30" si="9">SUM(F26:F29)</f>
        <v>130024</v>
      </c>
      <c r="G30" s="121">
        <f t="shared" si="9"/>
        <v>0</v>
      </c>
      <c r="H30" s="121">
        <f t="shared" si="9"/>
        <v>130024</v>
      </c>
      <c r="I30" s="121">
        <f t="shared" si="9"/>
        <v>126932</v>
      </c>
      <c r="J30" s="121">
        <f t="shared" si="9"/>
        <v>3092</v>
      </c>
      <c r="K30" s="121">
        <f t="shared" si="9"/>
        <v>0</v>
      </c>
      <c r="L30" s="121">
        <f t="shared" si="9"/>
        <v>0</v>
      </c>
      <c r="M30" s="121">
        <f t="shared" si="9"/>
        <v>3052961</v>
      </c>
      <c r="N30" s="121">
        <f t="shared" si="9"/>
        <v>0</v>
      </c>
      <c r="O30" s="121">
        <f t="shared" si="9"/>
        <v>140784</v>
      </c>
    </row>
    <row r="31" spans="3:15" x14ac:dyDescent="0.35">
      <c r="C31" s="126" t="s">
        <v>35</v>
      </c>
      <c r="D31" s="126"/>
      <c r="E31" s="126"/>
      <c r="F31" s="127">
        <f t="shared" ref="F31:O31" si="10">F30+F25+F22+F19+F17+F11</f>
        <v>1451774</v>
      </c>
      <c r="G31" s="127">
        <f t="shared" si="10"/>
        <v>3839</v>
      </c>
      <c r="H31" s="127">
        <f t="shared" si="10"/>
        <v>1426186</v>
      </c>
      <c r="I31" s="127">
        <f t="shared" si="10"/>
        <v>1099553</v>
      </c>
      <c r="J31" s="127">
        <f t="shared" si="10"/>
        <v>348382</v>
      </c>
      <c r="K31" s="127">
        <f t="shared" si="10"/>
        <v>0</v>
      </c>
      <c r="L31" s="127">
        <f t="shared" si="10"/>
        <v>0</v>
      </c>
      <c r="M31" s="127">
        <f t="shared" si="10"/>
        <v>15046833</v>
      </c>
      <c r="N31" s="127">
        <f t="shared" si="10"/>
        <v>0</v>
      </c>
      <c r="O31" s="127">
        <f t="shared" si="10"/>
        <v>1374582</v>
      </c>
    </row>
    <row r="32" spans="3:15" x14ac:dyDescent="0.35">
      <c r="F32" s="128" t="s">
        <v>36</v>
      </c>
      <c r="G32" s="116">
        <f>O11+L11+J11-K11</f>
        <v>1290630</v>
      </c>
      <c r="H32" s="252"/>
      <c r="I32" s="253"/>
      <c r="J32" s="129"/>
      <c r="K32" s="130"/>
      <c r="L32" s="130"/>
    </row>
    <row r="33" spans="3:15" x14ac:dyDescent="0.35">
      <c r="F33" s="131" t="s">
        <v>37</v>
      </c>
      <c r="G33" s="116">
        <f>O17+L17+J17-K17+O19+L19+J19-K19</f>
        <v>288458</v>
      </c>
      <c r="H33" s="132"/>
      <c r="I33" s="133" t="s">
        <v>89</v>
      </c>
      <c r="J33" s="133" t="s">
        <v>90</v>
      </c>
      <c r="K33" s="239" t="s">
        <v>88</v>
      </c>
      <c r="L33" s="238"/>
      <c r="M33" s="254" t="s">
        <v>87</v>
      </c>
      <c r="N33" s="255"/>
      <c r="O33" s="256"/>
    </row>
    <row r="34" spans="3:15" x14ac:dyDescent="0.35">
      <c r="C34" s="257" t="s">
        <v>68</v>
      </c>
      <c r="D34" s="258"/>
      <c r="F34" s="134" t="s">
        <v>38</v>
      </c>
      <c r="G34" s="116">
        <f>O22+L22+J22-K22</f>
        <v>0</v>
      </c>
      <c r="H34" s="132"/>
      <c r="I34" s="133"/>
      <c r="J34" s="135"/>
      <c r="K34" s="239"/>
      <c r="L34" s="238"/>
      <c r="M34" s="136"/>
      <c r="N34" s="137"/>
      <c r="O34" s="138"/>
    </row>
    <row r="35" spans="3:15" x14ac:dyDescent="0.35">
      <c r="C35" s="139"/>
      <c r="D35" s="139"/>
      <c r="F35" s="140" t="s">
        <v>30</v>
      </c>
      <c r="G35" s="116">
        <f>O25+L25+J25-K25</f>
        <v>0</v>
      </c>
      <c r="H35" s="132"/>
      <c r="I35" s="141"/>
      <c r="J35" s="135"/>
      <c r="K35" s="239"/>
      <c r="L35" s="238"/>
      <c r="M35" s="136"/>
      <c r="N35" s="137"/>
      <c r="O35" s="138"/>
    </row>
    <row r="36" spans="3:15" x14ac:dyDescent="0.35">
      <c r="C36" s="139"/>
      <c r="D36" s="139"/>
      <c r="F36" s="128" t="s">
        <v>39</v>
      </c>
      <c r="G36" s="116">
        <f>O30+L30+J30-K30</f>
        <v>143876</v>
      </c>
      <c r="H36" s="132"/>
      <c r="I36" s="141"/>
      <c r="J36" s="135"/>
      <c r="K36" s="239"/>
      <c r="L36" s="238"/>
      <c r="M36" s="136"/>
      <c r="N36" s="137"/>
      <c r="O36" s="138"/>
    </row>
    <row r="37" spans="3:15" x14ac:dyDescent="0.35">
      <c r="C37" s="139"/>
      <c r="D37" s="139"/>
      <c r="F37" s="142" t="s">
        <v>40</v>
      </c>
      <c r="G37" s="143">
        <f>SUM(G32:G36)</f>
        <v>1722964</v>
      </c>
      <c r="I37" s="139"/>
      <c r="J37" s="135"/>
      <c r="K37" s="239"/>
      <c r="L37" s="238"/>
      <c r="M37" s="136"/>
      <c r="N37" s="137"/>
      <c r="O37" s="138"/>
    </row>
    <row r="38" spans="3:15" x14ac:dyDescent="0.35">
      <c r="C38" s="139"/>
      <c r="D38" s="139"/>
      <c r="F38" s="144"/>
      <c r="G38" s="145"/>
      <c r="I38" s="139"/>
      <c r="J38" s="135"/>
      <c r="K38" s="239"/>
      <c r="L38" s="238"/>
      <c r="M38" s="136"/>
      <c r="N38" s="137"/>
      <c r="O38" s="138"/>
    </row>
    <row r="39" spans="3:15" x14ac:dyDescent="0.35">
      <c r="C39" s="139"/>
      <c r="D39" s="139"/>
      <c r="F39" s="144"/>
      <c r="G39" s="145"/>
      <c r="I39" s="139"/>
      <c r="J39" s="135"/>
      <c r="K39" s="137"/>
      <c r="L39" s="137"/>
      <c r="M39" s="136"/>
      <c r="N39" s="137"/>
      <c r="O39" s="138"/>
    </row>
    <row r="40" spans="3:15" x14ac:dyDescent="0.35">
      <c r="C40" s="139"/>
      <c r="D40" s="139"/>
      <c r="F40" s="144"/>
      <c r="G40" s="145"/>
      <c r="I40" s="139"/>
      <c r="J40" s="135"/>
      <c r="K40" s="137"/>
      <c r="L40" s="137"/>
      <c r="M40" s="136"/>
      <c r="N40" s="137"/>
      <c r="O40" s="138"/>
    </row>
    <row r="41" spans="3:15" x14ac:dyDescent="0.35">
      <c r="C41" s="139"/>
      <c r="D41" s="139"/>
      <c r="F41" s="144"/>
      <c r="G41" s="145"/>
      <c r="I41" s="139"/>
      <c r="J41" s="135"/>
      <c r="K41" s="137"/>
      <c r="L41" s="137"/>
      <c r="M41" s="136"/>
      <c r="N41" s="137"/>
      <c r="O41" s="138"/>
    </row>
    <row r="42" spans="3:15" x14ac:dyDescent="0.35">
      <c r="C42" s="139"/>
      <c r="D42" s="139"/>
      <c r="F42" s="144"/>
      <c r="G42" s="145"/>
      <c r="I42" s="139"/>
      <c r="J42" s="135"/>
      <c r="K42" s="237"/>
      <c r="L42" s="238"/>
      <c r="M42" s="237"/>
      <c r="N42" s="239"/>
      <c r="O42" s="238"/>
    </row>
    <row r="43" spans="3:15" x14ac:dyDescent="0.35">
      <c r="C43" s="139"/>
      <c r="D43" s="139"/>
      <c r="F43" s="144"/>
      <c r="G43" s="145"/>
      <c r="I43" s="139"/>
      <c r="J43" s="133"/>
      <c r="K43" s="237"/>
      <c r="L43" s="238"/>
      <c r="M43" s="237"/>
      <c r="N43" s="239"/>
      <c r="O43" s="238"/>
    </row>
    <row r="44" spans="3:15" x14ac:dyDescent="0.35">
      <c r="C44" s="139"/>
      <c r="D44" s="139"/>
      <c r="F44" s="144"/>
      <c r="G44" s="145"/>
      <c r="I44" s="139"/>
      <c r="J44" s="133"/>
      <c r="K44" s="237"/>
      <c r="L44" s="238"/>
      <c r="M44" s="237"/>
      <c r="N44" s="239"/>
      <c r="O44" s="238"/>
    </row>
    <row r="45" spans="3:15" x14ac:dyDescent="0.35">
      <c r="C45" s="139"/>
      <c r="D45" s="139"/>
      <c r="F45" s="144"/>
      <c r="G45" s="145"/>
      <c r="I45" s="139"/>
      <c r="J45" s="133"/>
      <c r="K45" s="237"/>
      <c r="L45" s="238"/>
      <c r="M45" s="237"/>
      <c r="N45" s="239"/>
      <c r="O45" s="238"/>
    </row>
    <row r="46" spans="3:15" x14ac:dyDescent="0.35">
      <c r="C46" s="139"/>
      <c r="D46" s="139"/>
      <c r="F46" s="144"/>
      <c r="G46" s="145"/>
      <c r="I46" s="139"/>
      <c r="J46" s="133"/>
      <c r="K46" s="237"/>
      <c r="L46" s="238"/>
      <c r="M46" s="237"/>
      <c r="N46" s="239"/>
      <c r="O46" s="238"/>
    </row>
    <row r="47" spans="3:15" x14ac:dyDescent="0.35">
      <c r="H47" s="240" t="s">
        <v>41</v>
      </c>
      <c r="I47" s="240"/>
      <c r="J47" s="240"/>
      <c r="K47" s="241"/>
      <c r="L47" s="110"/>
      <c r="M47" s="146"/>
    </row>
    <row r="48" spans="3:15" x14ac:dyDescent="0.35">
      <c r="H48" s="147" t="s">
        <v>42</v>
      </c>
      <c r="I48" s="147" t="s">
        <v>43</v>
      </c>
      <c r="J48" s="147" t="s">
        <v>44</v>
      </c>
      <c r="K48" s="241"/>
      <c r="L48" s="146"/>
    </row>
    <row r="49" spans="3:14" x14ac:dyDescent="0.35">
      <c r="F49" s="148"/>
      <c r="H49" s="104" t="s">
        <v>14</v>
      </c>
      <c r="I49" s="104" t="s">
        <v>15</v>
      </c>
      <c r="J49" s="148">
        <f>M5-O5-N5-L5+I5</f>
        <v>344505</v>
      </c>
      <c r="K49" s="149">
        <v>318526</v>
      </c>
      <c r="L49" s="150">
        <f>J49-K49</f>
        <v>25979</v>
      </c>
      <c r="M49" s="148"/>
    </row>
    <row r="50" spans="3:14" x14ac:dyDescent="0.35">
      <c r="C50" s="242">
        <v>45931</v>
      </c>
      <c r="D50" s="242"/>
      <c r="E50" s="242"/>
      <c r="H50" s="104" t="s">
        <v>14</v>
      </c>
      <c r="I50" s="104" t="s">
        <v>17</v>
      </c>
      <c r="J50" s="148">
        <f>M6-O6-N6-L6+I6+G50</f>
        <v>3159667</v>
      </c>
      <c r="K50" s="149">
        <v>3500289</v>
      </c>
      <c r="L50" s="150">
        <f t="shared" ref="L50:L61" si="11">J50-K50</f>
        <v>-340622</v>
      </c>
      <c r="M50" s="148"/>
    </row>
    <row r="51" spans="3:14" x14ac:dyDescent="0.35">
      <c r="C51" s="243" t="s">
        <v>63</v>
      </c>
      <c r="D51" s="243"/>
      <c r="E51" s="243"/>
      <c r="H51" s="104" t="s">
        <v>14</v>
      </c>
      <c r="I51" s="104" t="s">
        <v>18</v>
      </c>
      <c r="J51" s="148">
        <f>M7-O7-N7-L7+I7+G51</f>
        <v>1846651</v>
      </c>
      <c r="K51" s="149">
        <v>1696451</v>
      </c>
      <c r="L51" s="150">
        <f t="shared" si="11"/>
        <v>150200</v>
      </c>
      <c r="M51" s="148"/>
    </row>
    <row r="52" spans="3:14" x14ac:dyDescent="0.35">
      <c r="C52" s="139" t="s">
        <v>64</v>
      </c>
      <c r="D52" s="225">
        <f>'Opening Balance FEB 2026'!J4</f>
        <v>1308640</v>
      </c>
      <c r="E52" s="226"/>
      <c r="H52" s="104" t="s">
        <v>14</v>
      </c>
      <c r="I52" s="104" t="s">
        <v>19</v>
      </c>
      <c r="J52" s="148">
        <f>M8-O8-N8-L8+I8+G52</f>
        <v>1256464</v>
      </c>
      <c r="K52" s="149">
        <v>1121787</v>
      </c>
      <c r="L52" s="150">
        <f t="shared" si="11"/>
        <v>134677</v>
      </c>
      <c r="M52" s="148"/>
    </row>
    <row r="53" spans="3:14" x14ac:dyDescent="0.35">
      <c r="C53" s="139" t="s">
        <v>65</v>
      </c>
      <c r="D53" s="225">
        <f>G37</f>
        <v>1722964</v>
      </c>
      <c r="E53" s="226"/>
      <c r="H53" s="104" t="s">
        <v>14</v>
      </c>
      <c r="I53" s="104" t="s">
        <v>20</v>
      </c>
      <c r="J53" s="148">
        <f>M9-O9-N9-L9+I9+G53</f>
        <v>1304420</v>
      </c>
      <c r="K53" s="149">
        <v>1306938</v>
      </c>
      <c r="L53" s="150">
        <f t="shared" si="11"/>
        <v>-2518</v>
      </c>
      <c r="M53" s="148"/>
    </row>
    <row r="54" spans="3:14" x14ac:dyDescent="0.35">
      <c r="C54" s="151" t="s">
        <v>45</v>
      </c>
      <c r="D54" s="244">
        <f>D52+D53</f>
        <v>3031604</v>
      </c>
      <c r="E54" s="245"/>
      <c r="H54" s="104" t="s">
        <v>14</v>
      </c>
      <c r="I54" s="104" t="s">
        <v>21</v>
      </c>
      <c r="J54" s="148">
        <f>M10-O10-N10-L10+I10+G54</f>
        <v>835362</v>
      </c>
      <c r="K54" s="149">
        <v>728361</v>
      </c>
      <c r="L54" s="150">
        <f t="shared" si="11"/>
        <v>107001</v>
      </c>
    </row>
    <row r="55" spans="3:14" x14ac:dyDescent="0.35">
      <c r="C55" s="139" t="s">
        <v>66</v>
      </c>
      <c r="D55" s="235">
        <v>0</v>
      </c>
      <c r="E55" s="236"/>
      <c r="H55" s="152" t="s">
        <v>45</v>
      </c>
      <c r="I55" s="152"/>
      <c r="J55" s="153">
        <f>SUM(J49:J54)</f>
        <v>8747069</v>
      </c>
      <c r="K55" s="154">
        <v>8747069</v>
      </c>
      <c r="L55" s="150">
        <f t="shared" si="11"/>
        <v>0</v>
      </c>
    </row>
    <row r="56" spans="3:14" x14ac:dyDescent="0.35">
      <c r="C56" s="139" t="s">
        <v>78</v>
      </c>
      <c r="D56" s="235">
        <v>0</v>
      </c>
      <c r="E56" s="236"/>
      <c r="H56" s="152"/>
      <c r="I56" s="152"/>
      <c r="J56" s="153"/>
      <c r="K56" s="155"/>
      <c r="L56" s="150"/>
    </row>
    <row r="57" spans="3:14" x14ac:dyDescent="0.35">
      <c r="C57" s="139" t="s">
        <v>75</v>
      </c>
      <c r="D57" s="235">
        <v>10000</v>
      </c>
      <c r="E57" s="236"/>
      <c r="H57" s="147" t="s">
        <v>42</v>
      </c>
      <c r="I57" s="147" t="s">
        <v>43</v>
      </c>
      <c r="J57" s="147" t="s">
        <v>44</v>
      </c>
      <c r="K57" s="146"/>
      <c r="L57" s="150"/>
    </row>
    <row r="58" spans="3:14" x14ac:dyDescent="0.35">
      <c r="C58" s="156" t="s">
        <v>83</v>
      </c>
      <c r="D58" s="227">
        <f>SUM(D55:E57)</f>
        <v>10000</v>
      </c>
      <c r="E58" s="228"/>
      <c r="H58" s="104" t="s">
        <v>46</v>
      </c>
      <c r="I58" s="104" t="s">
        <v>48</v>
      </c>
      <c r="J58" s="148">
        <f>M12-O12-N12-L12+I12</f>
        <v>442344</v>
      </c>
      <c r="K58" s="149">
        <v>442344</v>
      </c>
      <c r="L58" s="150">
        <f t="shared" si="11"/>
        <v>0</v>
      </c>
    </row>
    <row r="59" spans="3:14" x14ac:dyDescent="0.35">
      <c r="C59" s="157" t="s">
        <v>67</v>
      </c>
      <c r="D59" s="229">
        <f>D54-D55-D57-D56</f>
        <v>3021604</v>
      </c>
      <c r="E59" s="230"/>
      <c r="H59" s="104" t="s">
        <v>46</v>
      </c>
      <c r="I59" s="104" t="s">
        <v>47</v>
      </c>
      <c r="J59" s="148">
        <f>M13-O13-N13-L13+I13</f>
        <v>1639269</v>
      </c>
      <c r="K59" s="149">
        <v>1684269</v>
      </c>
      <c r="L59" s="150">
        <f t="shared" si="11"/>
        <v>-45000</v>
      </c>
      <c r="N59" s="148"/>
    </row>
    <row r="60" spans="3:14" x14ac:dyDescent="0.35">
      <c r="C60" s="158" t="s">
        <v>68</v>
      </c>
      <c r="D60" s="231"/>
      <c r="E60" s="232"/>
      <c r="H60" s="104" t="s">
        <v>46</v>
      </c>
      <c r="I60" s="104" t="s">
        <v>15</v>
      </c>
      <c r="J60" s="148">
        <f>M14-O14-N14-L14+I14</f>
        <v>552603</v>
      </c>
      <c r="K60" s="149">
        <v>552603</v>
      </c>
      <c r="L60" s="150">
        <f t="shared" si="11"/>
        <v>0</v>
      </c>
      <c r="M60" s="148"/>
      <c r="N60" s="148"/>
    </row>
    <row r="61" spans="3:14" x14ac:dyDescent="0.35">
      <c r="C61" s="139" t="s">
        <v>14</v>
      </c>
      <c r="D61" s="225">
        <v>0</v>
      </c>
      <c r="E61" s="226"/>
      <c r="H61" s="104" t="s">
        <v>46</v>
      </c>
      <c r="I61" s="104" t="s">
        <v>20</v>
      </c>
      <c r="J61" s="148">
        <v>8160</v>
      </c>
      <c r="K61" s="149">
        <v>8160</v>
      </c>
      <c r="L61" s="150">
        <f t="shared" si="11"/>
        <v>0</v>
      </c>
    </row>
    <row r="62" spans="3:14" x14ac:dyDescent="0.35">
      <c r="C62" s="139" t="s">
        <v>72</v>
      </c>
      <c r="D62" s="225">
        <v>0</v>
      </c>
      <c r="E62" s="226"/>
      <c r="H62" s="104" t="s">
        <v>27</v>
      </c>
      <c r="I62" s="104" t="s">
        <v>47</v>
      </c>
      <c r="J62" s="148">
        <f>M18-O18-N18-L18+I18</f>
        <v>51257</v>
      </c>
      <c r="K62" s="149">
        <v>51257</v>
      </c>
      <c r="L62" s="150">
        <f>J62-K62</f>
        <v>0</v>
      </c>
    </row>
    <row r="63" spans="3:14" x14ac:dyDescent="0.35">
      <c r="C63" s="139" t="s">
        <v>69</v>
      </c>
      <c r="D63" s="225">
        <v>0</v>
      </c>
      <c r="E63" s="226"/>
      <c r="H63" s="152" t="s">
        <v>45</v>
      </c>
      <c r="I63" s="152"/>
      <c r="J63" s="153">
        <f>SUM(J58:J62)</f>
        <v>2693633</v>
      </c>
      <c r="K63" s="149">
        <f>SUM(K58:K62)</f>
        <v>2738633</v>
      </c>
      <c r="L63" s="150">
        <f>J63-K63</f>
        <v>-45000</v>
      </c>
    </row>
    <row r="64" spans="3:14" x14ac:dyDescent="0.35">
      <c r="C64" s="139" t="s">
        <v>70</v>
      </c>
      <c r="D64" s="225">
        <v>0</v>
      </c>
      <c r="E64" s="226"/>
      <c r="F64" s="148"/>
      <c r="H64" s="147" t="s">
        <v>42</v>
      </c>
      <c r="I64" s="147" t="s">
        <v>43</v>
      </c>
      <c r="J64" s="147" t="s">
        <v>44</v>
      </c>
    </row>
    <row r="65" spans="3:14" x14ac:dyDescent="0.35">
      <c r="C65" s="139" t="s">
        <v>71</v>
      </c>
      <c r="D65" s="225">
        <v>0</v>
      </c>
      <c r="E65" s="226"/>
      <c r="F65" s="159"/>
      <c r="G65" s="160"/>
      <c r="H65" s="104" t="s">
        <v>49</v>
      </c>
      <c r="I65" s="104" t="s">
        <v>51</v>
      </c>
      <c r="J65" s="148">
        <f>M26-O26-N26-L26+I26</f>
        <v>1451839</v>
      </c>
      <c r="K65" s="149">
        <v>1409360</v>
      </c>
      <c r="L65" s="150">
        <f t="shared" ref="L65:L71" si="12">J65-K65</f>
        <v>42479</v>
      </c>
      <c r="N65" s="148"/>
    </row>
    <row r="66" spans="3:14" x14ac:dyDescent="0.35">
      <c r="C66" s="157" t="s">
        <v>73</v>
      </c>
      <c r="D66" s="229">
        <f>SUM(D61:D65)</f>
        <v>0</v>
      </c>
      <c r="E66" s="230"/>
      <c r="F66" s="148"/>
      <c r="H66" s="104" t="s">
        <v>49</v>
      </c>
      <c r="I66" s="104" t="s">
        <v>18</v>
      </c>
      <c r="J66" s="148">
        <f>M27-O27-N27-L27+I27</f>
        <v>174473</v>
      </c>
      <c r="K66" s="149">
        <v>174473</v>
      </c>
      <c r="L66" s="150">
        <f t="shared" si="12"/>
        <v>0</v>
      </c>
    </row>
    <row r="67" spans="3:14" x14ac:dyDescent="0.35">
      <c r="C67" s="161" t="s">
        <v>74</v>
      </c>
      <c r="D67" s="233">
        <f>D59-D66</f>
        <v>3021604</v>
      </c>
      <c r="E67" s="234"/>
      <c r="F67" s="148"/>
      <c r="H67" s="104" t="s">
        <v>49</v>
      </c>
      <c r="I67" s="104" t="s">
        <v>15</v>
      </c>
      <c r="J67" s="148">
        <f>M28-O28-N28-L28+I28</f>
        <v>35126</v>
      </c>
      <c r="K67" s="149">
        <v>35126</v>
      </c>
      <c r="L67" s="150">
        <f t="shared" si="12"/>
        <v>0</v>
      </c>
    </row>
    <row r="68" spans="3:14" x14ac:dyDescent="0.35">
      <c r="C68" s="139"/>
      <c r="D68" s="225">
        <v>3102990</v>
      </c>
      <c r="E68" s="226"/>
      <c r="H68" s="104" t="s">
        <v>49</v>
      </c>
      <c r="I68" s="104" t="s">
        <v>50</v>
      </c>
      <c r="J68" s="148">
        <f>M29-O29-N29-L29+I29+G68</f>
        <v>1377671</v>
      </c>
      <c r="K68" s="149">
        <v>1434954</v>
      </c>
      <c r="L68" s="150">
        <f t="shared" si="12"/>
        <v>-57283</v>
      </c>
    </row>
    <row r="69" spans="3:14" x14ac:dyDescent="0.35">
      <c r="C69" s="139"/>
      <c r="D69" s="225">
        <f>D67-D68</f>
        <v>-81386</v>
      </c>
      <c r="E69" s="226"/>
      <c r="H69" s="104" t="s">
        <v>49</v>
      </c>
      <c r="I69" s="104" t="s">
        <v>20</v>
      </c>
      <c r="J69" s="148">
        <f>'Opening Balance FEB 2026'!F24</f>
        <v>66046</v>
      </c>
      <c r="K69" s="149">
        <v>66046</v>
      </c>
      <c r="L69" s="150">
        <f t="shared" si="12"/>
        <v>0</v>
      </c>
    </row>
    <row r="70" spans="3:14" x14ac:dyDescent="0.35">
      <c r="H70" s="104" t="s">
        <v>49</v>
      </c>
      <c r="I70" s="104" t="s">
        <v>47</v>
      </c>
      <c r="J70" s="148">
        <f>'Opening Balance FEB 2026'!F25</f>
        <v>23570</v>
      </c>
      <c r="K70" s="149">
        <v>23570</v>
      </c>
      <c r="L70" s="150">
        <f t="shared" si="12"/>
        <v>0</v>
      </c>
    </row>
    <row r="71" spans="3:14" x14ac:dyDescent="0.35">
      <c r="H71" s="152" t="s">
        <v>45</v>
      </c>
      <c r="I71" s="152"/>
      <c r="J71" s="153">
        <f>SUM(J65:J70)</f>
        <v>3128725</v>
      </c>
      <c r="K71" s="149">
        <v>3123725</v>
      </c>
      <c r="L71" s="150">
        <f t="shared" si="12"/>
        <v>5000</v>
      </c>
      <c r="N71" s="148"/>
    </row>
    <row r="72" spans="3:14" x14ac:dyDescent="0.35">
      <c r="H72" s="147" t="s">
        <v>42</v>
      </c>
      <c r="I72" s="147" t="s">
        <v>43</v>
      </c>
      <c r="J72" s="147" t="s">
        <v>44</v>
      </c>
    </row>
    <row r="73" spans="3:14" x14ac:dyDescent="0.35">
      <c r="H73" s="104" t="s">
        <v>52</v>
      </c>
      <c r="I73" s="104" t="s">
        <v>53</v>
      </c>
      <c r="J73" s="148">
        <f>M20-O20-N20-L20+I20-G72</f>
        <v>33969</v>
      </c>
      <c r="K73" s="148">
        <v>33969</v>
      </c>
      <c r="L73" s="150">
        <f>J73-K73</f>
        <v>0</v>
      </c>
    </row>
    <row r="74" spans="3:14" x14ac:dyDescent="0.35">
      <c r="H74" s="104" t="s">
        <v>52</v>
      </c>
      <c r="I74" s="104" t="s">
        <v>47</v>
      </c>
      <c r="J74" s="148">
        <f>M21-O21-N21-L21+I21</f>
        <v>151366</v>
      </c>
      <c r="K74" s="162">
        <v>151366</v>
      </c>
      <c r="L74" s="150">
        <f>J74-K74</f>
        <v>0</v>
      </c>
    </row>
    <row r="75" spans="3:14" x14ac:dyDescent="0.35">
      <c r="H75" s="152" t="s">
        <v>45</v>
      </c>
      <c r="I75" s="152"/>
      <c r="J75" s="153">
        <f>SUM(J73:J74)</f>
        <v>185335</v>
      </c>
      <c r="K75" s="148">
        <v>160846</v>
      </c>
      <c r="L75" s="150">
        <f>J75-K75</f>
        <v>24489</v>
      </c>
    </row>
    <row r="76" spans="3:14" x14ac:dyDescent="0.35">
      <c r="G76" s="104">
        <v>0</v>
      </c>
      <c r="H76" s="147" t="s">
        <v>42</v>
      </c>
      <c r="I76" s="147" t="s">
        <v>43</v>
      </c>
      <c r="J76" s="147" t="s">
        <v>44</v>
      </c>
      <c r="K76" s="149">
        <v>0</v>
      </c>
      <c r="L76" s="150"/>
    </row>
    <row r="77" spans="3:14" x14ac:dyDescent="0.35">
      <c r="H77" s="104" t="s">
        <v>54</v>
      </c>
      <c r="I77" s="104" t="s">
        <v>53</v>
      </c>
      <c r="J77" s="148">
        <f>M23-O23-N23-L23+I23-G76</f>
        <v>89658</v>
      </c>
      <c r="K77" s="149">
        <v>89658</v>
      </c>
      <c r="L77" s="150">
        <f>J77-K77</f>
        <v>0</v>
      </c>
    </row>
    <row r="78" spans="3:14" x14ac:dyDescent="0.35">
      <c r="H78" s="104" t="s">
        <v>54</v>
      </c>
      <c r="I78" s="104" t="s">
        <v>18</v>
      </c>
      <c r="J78" s="148">
        <f>M24-O24-N24-L24+I24</f>
        <v>17000</v>
      </c>
      <c r="K78" s="149">
        <v>67000</v>
      </c>
      <c r="L78" s="150">
        <f>J78-K78</f>
        <v>-50000</v>
      </c>
    </row>
    <row r="79" spans="3:14" x14ac:dyDescent="0.35">
      <c r="H79" s="152" t="s">
        <v>45</v>
      </c>
      <c r="I79" s="152"/>
      <c r="J79" s="153">
        <f>SUM(J77:J78)</f>
        <v>106658</v>
      </c>
      <c r="K79" s="148">
        <f>SUM(K76:K78)</f>
        <v>156658</v>
      </c>
      <c r="L79" s="150">
        <f>J79-K79</f>
        <v>-50000</v>
      </c>
    </row>
    <row r="80" spans="3:14" x14ac:dyDescent="0.35">
      <c r="H80" s="147" t="s">
        <v>42</v>
      </c>
      <c r="I80" s="147" t="s">
        <v>43</v>
      </c>
      <c r="J80" s="147" t="s">
        <v>44</v>
      </c>
      <c r="K80" s="149">
        <v>0</v>
      </c>
      <c r="L80" s="150"/>
    </row>
    <row r="81" spans="4:12" x14ac:dyDescent="0.35">
      <c r="H81" s="104" t="s">
        <v>55</v>
      </c>
      <c r="I81" s="104" t="s">
        <v>56</v>
      </c>
      <c r="J81" s="148">
        <f>'Opening Balance FEB 2026'!F36</f>
        <v>103541</v>
      </c>
      <c r="K81" s="149">
        <v>103541</v>
      </c>
      <c r="L81" s="150">
        <f>J81-K81</f>
        <v>0</v>
      </c>
    </row>
    <row r="82" spans="4:12" x14ac:dyDescent="0.35">
      <c r="H82" s="104" t="s">
        <v>55</v>
      </c>
      <c r="I82" s="104" t="s">
        <v>47</v>
      </c>
      <c r="J82" s="148">
        <f>'Opening Balance FEB 2026'!F37</f>
        <v>6013</v>
      </c>
      <c r="K82" s="149">
        <v>6013</v>
      </c>
      <c r="L82" s="150">
        <f>J82-K82</f>
        <v>0</v>
      </c>
    </row>
    <row r="83" spans="4:12" x14ac:dyDescent="0.35">
      <c r="H83" s="152" t="s">
        <v>45</v>
      </c>
      <c r="I83" s="152"/>
      <c r="J83" s="153">
        <v>109554</v>
      </c>
      <c r="K83" s="148">
        <f>SUM(K80:K82)</f>
        <v>109554</v>
      </c>
      <c r="L83" s="150">
        <f>J83-K83</f>
        <v>0</v>
      </c>
    </row>
    <row r="84" spans="4:12" x14ac:dyDescent="0.35">
      <c r="H84" s="147" t="s">
        <v>42</v>
      </c>
      <c r="I84" s="147" t="s">
        <v>43</v>
      </c>
      <c r="J84" s="147" t="s">
        <v>44</v>
      </c>
      <c r="K84" s="149">
        <v>0</v>
      </c>
      <c r="L84" s="150"/>
    </row>
    <row r="85" spans="4:12" x14ac:dyDescent="0.35">
      <c r="H85" s="104" t="s">
        <v>57</v>
      </c>
      <c r="I85" s="104" t="s">
        <v>47</v>
      </c>
      <c r="J85" s="148">
        <f>'Opening Balance FEB 2026'!F40</f>
        <v>16440</v>
      </c>
      <c r="K85" s="149">
        <v>16440</v>
      </c>
      <c r="L85" s="150">
        <f>J85-K85</f>
        <v>0</v>
      </c>
    </row>
    <row r="86" spans="4:12" x14ac:dyDescent="0.35">
      <c r="H86" s="152" t="s">
        <v>45</v>
      </c>
      <c r="I86" s="152"/>
      <c r="J86" s="153">
        <v>16440</v>
      </c>
      <c r="K86" s="149">
        <f>SUM(K84:K85)</f>
        <v>16440</v>
      </c>
    </row>
    <row r="87" spans="4:12" x14ac:dyDescent="0.35">
      <c r="J87" s="148"/>
    </row>
    <row r="88" spans="4:12" x14ac:dyDescent="0.35">
      <c r="H88" s="163" t="s">
        <v>58</v>
      </c>
      <c r="I88" s="163"/>
      <c r="J88" s="164">
        <f>J86+J83+J79+J75+J71+J63+J55</f>
        <v>14987414</v>
      </c>
    </row>
    <row r="90" spans="4:12" x14ac:dyDescent="0.35">
      <c r="D90" s="165" t="s">
        <v>82</v>
      </c>
      <c r="E90" s="165"/>
      <c r="F90" s="165"/>
      <c r="G90" s="165"/>
      <c r="H90" s="165"/>
    </row>
    <row r="91" spans="4:12" x14ac:dyDescent="0.35">
      <c r="D91" s="158" t="s">
        <v>42</v>
      </c>
      <c r="E91" s="158" t="s">
        <v>43</v>
      </c>
      <c r="F91" s="158" t="s">
        <v>79</v>
      </c>
      <c r="G91" s="158" t="s">
        <v>80</v>
      </c>
      <c r="H91" s="158" t="s">
        <v>81</v>
      </c>
    </row>
    <row r="92" spans="4:12" x14ac:dyDescent="0.35">
      <c r="D92" s="139" t="s">
        <v>14</v>
      </c>
      <c r="E92" s="139" t="s">
        <v>15</v>
      </c>
      <c r="F92" s="166">
        <f>H5</f>
        <v>0</v>
      </c>
      <c r="G92" s="166">
        <f t="shared" ref="G92:G97" si="13">O5</f>
        <v>36370</v>
      </c>
      <c r="H92" s="166">
        <f t="shared" ref="H92:H97" si="14">I5</f>
        <v>0</v>
      </c>
    </row>
    <row r="93" spans="4:12" x14ac:dyDescent="0.35">
      <c r="D93" s="139" t="s">
        <v>14</v>
      </c>
      <c r="E93" s="139" t="s">
        <v>17</v>
      </c>
      <c r="F93" s="166">
        <f>H6</f>
        <v>561406</v>
      </c>
      <c r="G93" s="166">
        <f t="shared" si="13"/>
        <v>902029</v>
      </c>
      <c r="H93" s="166">
        <f t="shared" si="14"/>
        <v>561406</v>
      </c>
    </row>
    <row r="94" spans="4:12" x14ac:dyDescent="0.35">
      <c r="D94" s="139" t="s">
        <v>14</v>
      </c>
      <c r="E94" s="139" t="s">
        <v>18</v>
      </c>
      <c r="F94" s="166">
        <f>H7</f>
        <v>92914</v>
      </c>
      <c r="G94" s="166">
        <f t="shared" si="13"/>
        <v>60249</v>
      </c>
      <c r="H94" s="166">
        <f t="shared" si="14"/>
        <v>12332</v>
      </c>
    </row>
    <row r="95" spans="4:12" x14ac:dyDescent="0.35">
      <c r="D95" s="139" t="s">
        <v>14</v>
      </c>
      <c r="E95" s="139" t="s">
        <v>19</v>
      </c>
      <c r="F95" s="166">
        <f>H8</f>
        <v>152750</v>
      </c>
      <c r="G95" s="166">
        <f t="shared" si="13"/>
        <v>87172</v>
      </c>
      <c r="H95" s="166">
        <f t="shared" si="14"/>
        <v>150220</v>
      </c>
    </row>
    <row r="96" spans="4:12" x14ac:dyDescent="0.35">
      <c r="D96" s="139" t="s">
        <v>14</v>
      </c>
      <c r="E96" s="139" t="s">
        <v>20</v>
      </c>
      <c r="F96" s="166">
        <f>H9</f>
        <v>105921</v>
      </c>
      <c r="G96" s="166">
        <f t="shared" si="13"/>
        <v>47961</v>
      </c>
      <c r="H96" s="166">
        <f t="shared" si="14"/>
        <v>45154</v>
      </c>
    </row>
    <row r="97" spans="4:8" x14ac:dyDescent="0.35">
      <c r="D97" s="139" t="s">
        <v>14</v>
      </c>
      <c r="E97" s="139" t="s">
        <v>21</v>
      </c>
      <c r="F97" s="166" t="e">
        <f>H10+#REF!</f>
        <v>#REF!</v>
      </c>
      <c r="G97" s="166">
        <f t="shared" si="13"/>
        <v>0</v>
      </c>
      <c r="H97" s="166">
        <f t="shared" si="14"/>
        <v>78675</v>
      </c>
    </row>
    <row r="98" spans="4:8" x14ac:dyDescent="0.35">
      <c r="D98" s="167" t="s">
        <v>45</v>
      </c>
      <c r="E98" s="167"/>
      <c r="F98" s="168" t="e">
        <f>SUM(F92:F97)</f>
        <v>#REF!</v>
      </c>
      <c r="G98" s="168">
        <f t="shared" ref="G98" si="15">SUM(G92:G97)</f>
        <v>1133781</v>
      </c>
      <c r="H98" s="168">
        <f>SUM(H92:H97)</f>
        <v>847787</v>
      </c>
    </row>
    <row r="99" spans="4:8" x14ac:dyDescent="0.35">
      <c r="D99" s="158" t="s">
        <v>42</v>
      </c>
      <c r="E99" s="158" t="s">
        <v>43</v>
      </c>
      <c r="F99" s="169" t="s">
        <v>79</v>
      </c>
      <c r="G99" s="169" t="s">
        <v>80</v>
      </c>
      <c r="H99" s="169" t="s">
        <v>81</v>
      </c>
    </row>
    <row r="100" spans="4:8" x14ac:dyDescent="0.35">
      <c r="D100" s="139" t="s">
        <v>46</v>
      </c>
      <c r="E100" s="139" t="s">
        <v>48</v>
      </c>
      <c r="F100" s="166">
        <f>H12</f>
        <v>67321</v>
      </c>
      <c r="G100" s="166">
        <f>O12</f>
        <v>40437</v>
      </c>
      <c r="H100" s="166">
        <f>I12</f>
        <v>13612</v>
      </c>
    </row>
    <row r="101" spans="4:8" x14ac:dyDescent="0.35">
      <c r="D101" s="139" t="s">
        <v>46</v>
      </c>
      <c r="E101" s="139" t="s">
        <v>47</v>
      </c>
      <c r="F101" s="166">
        <f>H13</f>
        <v>77830</v>
      </c>
      <c r="G101" s="166">
        <f>O13</f>
        <v>59580</v>
      </c>
      <c r="H101" s="166">
        <f>I13</f>
        <v>41488</v>
      </c>
    </row>
    <row r="102" spans="4:8" x14ac:dyDescent="0.35">
      <c r="D102" s="139" t="s">
        <v>27</v>
      </c>
      <c r="E102" s="139" t="s">
        <v>47</v>
      </c>
      <c r="F102" s="166">
        <v>0</v>
      </c>
      <c r="G102" s="166">
        <v>0</v>
      </c>
      <c r="H102" s="166">
        <v>0</v>
      </c>
    </row>
    <row r="103" spans="4:8" x14ac:dyDescent="0.35">
      <c r="D103" s="167" t="s">
        <v>45</v>
      </c>
      <c r="E103" s="167"/>
      <c r="F103" s="168">
        <f>SUM(F100:F102)</f>
        <v>145151</v>
      </c>
      <c r="G103" s="168">
        <f>SUM(G100:G102)</f>
        <v>100017</v>
      </c>
      <c r="H103" s="168">
        <f>SUM(H100:H102)</f>
        <v>55100</v>
      </c>
    </row>
    <row r="104" spans="4:8" x14ac:dyDescent="0.35">
      <c r="D104" s="158" t="s">
        <v>42</v>
      </c>
      <c r="E104" s="158" t="s">
        <v>43</v>
      </c>
      <c r="F104" s="169" t="s">
        <v>79</v>
      </c>
      <c r="G104" s="169" t="s">
        <v>80</v>
      </c>
      <c r="H104" s="169" t="s">
        <v>81</v>
      </c>
    </row>
    <row r="105" spans="4:8" x14ac:dyDescent="0.35">
      <c r="D105" s="139" t="s">
        <v>49</v>
      </c>
      <c r="E105" s="139" t="s">
        <v>51</v>
      </c>
      <c r="F105" s="166" t="e">
        <f>#REF!</f>
        <v>#REF!</v>
      </c>
      <c r="G105" s="166" t="e">
        <f>#REF!</f>
        <v>#REF!</v>
      </c>
      <c r="H105" s="166" t="e">
        <f>#REF!</f>
        <v>#REF!</v>
      </c>
    </row>
    <row r="106" spans="4:8" x14ac:dyDescent="0.35">
      <c r="D106" s="139" t="s">
        <v>49</v>
      </c>
      <c r="E106" s="139" t="s">
        <v>18</v>
      </c>
      <c r="F106" s="166">
        <f>H27</f>
        <v>0</v>
      </c>
      <c r="G106" s="166">
        <f>O27</f>
        <v>0</v>
      </c>
      <c r="H106" s="166">
        <v>0</v>
      </c>
    </row>
    <row r="107" spans="4:8" x14ac:dyDescent="0.35">
      <c r="D107" s="139" t="s">
        <v>49</v>
      </c>
      <c r="E107" s="139" t="s">
        <v>50</v>
      </c>
      <c r="F107" s="166" t="e">
        <f>#REF!+#REF!</f>
        <v>#REF!</v>
      </c>
      <c r="G107" s="166" t="e">
        <f>#REF!</f>
        <v>#REF!</v>
      </c>
      <c r="H107" s="166" t="e">
        <f>#REF!+#REF!</f>
        <v>#REF!</v>
      </c>
    </row>
    <row r="108" spans="4:8" x14ac:dyDescent="0.35">
      <c r="D108" s="167" t="s">
        <v>45</v>
      </c>
      <c r="E108" s="167"/>
      <c r="F108" s="168" t="e">
        <f>SUM(F105:F107)</f>
        <v>#REF!</v>
      </c>
      <c r="G108" s="168" t="e">
        <f>SUM(G105:G107)</f>
        <v>#REF!</v>
      </c>
      <c r="H108" s="168" t="e">
        <f>SUM(H105:H107)</f>
        <v>#REF!</v>
      </c>
    </row>
    <row r="109" spans="4:8" x14ac:dyDescent="0.35">
      <c r="D109" s="158" t="s">
        <v>42</v>
      </c>
      <c r="E109" s="158" t="s">
        <v>43</v>
      </c>
      <c r="F109" s="169" t="s">
        <v>79</v>
      </c>
      <c r="G109" s="169" t="s">
        <v>80</v>
      </c>
      <c r="H109" s="169" t="s">
        <v>81</v>
      </c>
    </row>
    <row r="110" spans="4:8" x14ac:dyDescent="0.35">
      <c r="D110" s="139" t="s">
        <v>52</v>
      </c>
      <c r="E110" s="139" t="s">
        <v>53</v>
      </c>
      <c r="F110" s="166">
        <f>H20</f>
        <v>0</v>
      </c>
      <c r="G110" s="166">
        <f>O20</f>
        <v>0</v>
      </c>
      <c r="H110" s="166">
        <f>I20</f>
        <v>0</v>
      </c>
    </row>
    <row r="111" spans="4:8" x14ac:dyDescent="0.35">
      <c r="D111" s="167" t="s">
        <v>45</v>
      </c>
      <c r="E111" s="167"/>
      <c r="F111" s="168">
        <f>SUM(F110)</f>
        <v>0</v>
      </c>
      <c r="G111" s="168">
        <f t="shared" ref="G111" si="16">SUM(G110)</f>
        <v>0</v>
      </c>
      <c r="H111" s="168">
        <f>SUM(H110)</f>
        <v>0</v>
      </c>
    </row>
    <row r="112" spans="4:8" x14ac:dyDescent="0.35">
      <c r="D112" s="158" t="s">
        <v>42</v>
      </c>
      <c r="E112" s="158" t="s">
        <v>43</v>
      </c>
      <c r="F112" s="169" t="s">
        <v>79</v>
      </c>
      <c r="G112" s="169" t="s">
        <v>80</v>
      </c>
      <c r="H112" s="169" t="s">
        <v>81</v>
      </c>
    </row>
    <row r="113" spans="4:8" x14ac:dyDescent="0.35">
      <c r="D113" s="139" t="s">
        <v>54</v>
      </c>
      <c r="E113" s="139" t="s">
        <v>53</v>
      </c>
      <c r="F113" s="166">
        <f>H23</f>
        <v>0</v>
      </c>
      <c r="G113" s="166">
        <f>O23</f>
        <v>0</v>
      </c>
      <c r="H113" s="166">
        <f>I23</f>
        <v>0</v>
      </c>
    </row>
    <row r="114" spans="4:8" x14ac:dyDescent="0.35">
      <c r="D114" s="139" t="s">
        <v>54</v>
      </c>
      <c r="E114" s="139" t="s">
        <v>18</v>
      </c>
      <c r="F114" s="166">
        <f>H24</f>
        <v>0</v>
      </c>
      <c r="G114" s="166">
        <f>O24</f>
        <v>0</v>
      </c>
      <c r="H114" s="166">
        <f>I24</f>
        <v>0</v>
      </c>
    </row>
    <row r="115" spans="4:8" x14ac:dyDescent="0.35">
      <c r="D115" s="167" t="s">
        <v>45</v>
      </c>
      <c r="E115" s="167"/>
      <c r="F115" s="168">
        <f>SUM(F113:F114)</f>
        <v>0</v>
      </c>
      <c r="G115" s="168">
        <f t="shared" ref="G115" si="17">SUM(G113:G114)</f>
        <v>0</v>
      </c>
      <c r="H115" s="168">
        <f>SUM(H113:H114)</f>
        <v>0</v>
      </c>
    </row>
    <row r="116" spans="4:8" x14ac:dyDescent="0.35">
      <c r="D116" s="170"/>
      <c r="E116" s="170"/>
      <c r="F116" s="171" t="e">
        <f>F115+F111+F108+F103+F98</f>
        <v>#REF!</v>
      </c>
      <c r="G116" s="171" t="e">
        <f t="shared" ref="G116" si="18">G115+G111+G108+G103+G98</f>
        <v>#REF!</v>
      </c>
      <c r="H116" s="171" t="e">
        <f>H115+H111+H108+H103+H98</f>
        <v>#REF!</v>
      </c>
    </row>
  </sheetData>
  <mergeCells count="43">
    <mergeCell ref="M42:O42"/>
    <mergeCell ref="C2:O2"/>
    <mergeCell ref="C3:O3"/>
    <mergeCell ref="H32:I32"/>
    <mergeCell ref="K33:L33"/>
    <mergeCell ref="M33:O33"/>
    <mergeCell ref="C34:D34"/>
    <mergeCell ref="K34:L34"/>
    <mergeCell ref="K35:L35"/>
    <mergeCell ref="K36:L36"/>
    <mergeCell ref="K37:L37"/>
    <mergeCell ref="K38:L38"/>
    <mergeCell ref="K42:L42"/>
    <mergeCell ref="K43:L43"/>
    <mergeCell ref="M43:O43"/>
    <mergeCell ref="K44:L44"/>
    <mergeCell ref="M44:O44"/>
    <mergeCell ref="K45:L45"/>
    <mergeCell ref="M45:O45"/>
    <mergeCell ref="D57:E57"/>
    <mergeCell ref="K46:L46"/>
    <mergeCell ref="M46:O46"/>
    <mergeCell ref="H47:J47"/>
    <mergeCell ref="K47:K48"/>
    <mergeCell ref="C50:E50"/>
    <mergeCell ref="C51:E51"/>
    <mergeCell ref="D52:E52"/>
    <mergeCell ref="D53:E53"/>
    <mergeCell ref="D54:E54"/>
    <mergeCell ref="D55:E55"/>
    <mergeCell ref="D56:E56"/>
    <mergeCell ref="D69:E69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</mergeCell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7"/>
  <sheetViews>
    <sheetView zoomScale="58" zoomScaleNormal="58" workbookViewId="0">
      <selection activeCell="E87" sqref="E87"/>
    </sheetView>
  </sheetViews>
  <sheetFormatPr defaultRowHeight="23.25" x14ac:dyDescent="0.35"/>
  <cols>
    <col min="1" max="1" width="5.5703125" style="104" customWidth="1"/>
    <col min="2" max="2" width="0.140625" style="104" hidden="1" customWidth="1"/>
    <col min="3" max="3" width="20.85546875" style="104" customWidth="1"/>
    <col min="4" max="4" width="26.42578125" style="104" customWidth="1"/>
    <col min="5" max="5" width="18.140625" style="104" customWidth="1"/>
    <col min="6" max="6" width="32.28515625" style="104" bestFit="1" customWidth="1"/>
    <col min="7" max="7" width="21" style="104" customWidth="1"/>
    <col min="8" max="8" width="22.85546875" style="104" customWidth="1"/>
    <col min="9" max="9" width="23.5703125" style="104" customWidth="1"/>
    <col min="10" max="10" width="21.42578125" style="104" customWidth="1"/>
    <col min="11" max="11" width="21.28515625" style="104" customWidth="1"/>
    <col min="12" max="12" width="22.5703125" style="104" customWidth="1"/>
    <col min="13" max="13" width="26.42578125" style="104" customWidth="1"/>
    <col min="14" max="14" width="17.5703125" style="104" customWidth="1"/>
    <col min="15" max="15" width="22" style="104" customWidth="1"/>
    <col min="16" max="16" width="7.5703125" style="104" customWidth="1"/>
    <col min="17" max="17" width="14.28515625" style="104" bestFit="1" customWidth="1"/>
    <col min="18" max="18" width="11.42578125" style="104" customWidth="1"/>
    <col min="19" max="16384" width="9.140625" style="104"/>
  </cols>
  <sheetData>
    <row r="2" spans="1:16" x14ac:dyDescent="0.35">
      <c r="C2" s="246">
        <v>46096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8"/>
    </row>
    <row r="3" spans="1:16" x14ac:dyDescent="0.35">
      <c r="C3" s="249" t="s">
        <v>0</v>
      </c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6" ht="93" x14ac:dyDescent="0.35">
      <c r="A4" s="172"/>
      <c r="C4" s="106" t="s">
        <v>1</v>
      </c>
      <c r="D4" s="106" t="s">
        <v>2</v>
      </c>
      <c r="E4" s="106" t="s">
        <v>3</v>
      </c>
      <c r="F4" s="106" t="s">
        <v>4</v>
      </c>
      <c r="G4" s="106" t="s">
        <v>5</v>
      </c>
      <c r="H4" s="106" t="s">
        <v>6</v>
      </c>
      <c r="I4" s="106" t="s">
        <v>7</v>
      </c>
      <c r="J4" s="106" t="s">
        <v>8</v>
      </c>
      <c r="K4" s="107" t="s">
        <v>9</v>
      </c>
      <c r="L4" s="107" t="s">
        <v>10</v>
      </c>
      <c r="M4" s="108" t="s">
        <v>11</v>
      </c>
      <c r="N4" s="109" t="s">
        <v>12</v>
      </c>
      <c r="O4" s="106" t="s">
        <v>13</v>
      </c>
    </row>
    <row r="5" spans="1:16" x14ac:dyDescent="0.35">
      <c r="A5" s="110"/>
      <c r="C5" s="111" t="s">
        <v>14</v>
      </c>
      <c r="D5" s="112" t="s">
        <v>15</v>
      </c>
      <c r="E5" s="113" t="s">
        <v>95</v>
      </c>
      <c r="F5" s="114">
        <v>0</v>
      </c>
      <c r="G5" s="114">
        <v>0</v>
      </c>
      <c r="H5" s="115">
        <f>F5-G5</f>
        <v>0</v>
      </c>
      <c r="I5" s="115">
        <f>H5-J5</f>
        <v>0</v>
      </c>
      <c r="J5" s="116">
        <v>0</v>
      </c>
      <c r="K5" s="117">
        <v>0</v>
      </c>
      <c r="L5" s="116">
        <v>0</v>
      </c>
      <c r="M5" s="114">
        <f>'14-03-2026'!J49</f>
        <v>344505</v>
      </c>
      <c r="N5" s="117">
        <v>0</v>
      </c>
      <c r="O5" s="118">
        <v>16495</v>
      </c>
      <c r="P5" s="119"/>
    </row>
    <row r="6" spans="1:16" x14ac:dyDescent="0.35">
      <c r="A6" s="110"/>
      <c r="C6" s="111" t="s">
        <v>14</v>
      </c>
      <c r="D6" s="112" t="s">
        <v>17</v>
      </c>
      <c r="E6" s="113" t="s">
        <v>86</v>
      </c>
      <c r="F6" s="114">
        <v>564537</v>
      </c>
      <c r="G6" s="114">
        <v>0</v>
      </c>
      <c r="H6" s="115">
        <f t="shared" ref="H6:H10" si="0">F6-G6</f>
        <v>564537</v>
      </c>
      <c r="I6" s="115">
        <f t="shared" ref="I6:I10" si="1">H6-J6</f>
        <v>564537</v>
      </c>
      <c r="J6" s="116">
        <v>0</v>
      </c>
      <c r="K6" s="117">
        <v>0</v>
      </c>
      <c r="L6" s="116">
        <v>0</v>
      </c>
      <c r="M6" s="114">
        <f>'14-03-2026'!J50</f>
        <v>3159667</v>
      </c>
      <c r="N6" s="117">
        <v>0</v>
      </c>
      <c r="O6" s="118">
        <v>0</v>
      </c>
    </row>
    <row r="7" spans="1:16" x14ac:dyDescent="0.35">
      <c r="A7" s="110"/>
      <c r="C7" s="111" t="s">
        <v>14</v>
      </c>
      <c r="D7" s="112" t="s">
        <v>18</v>
      </c>
      <c r="E7" s="113" t="s">
        <v>98</v>
      </c>
      <c r="F7" s="114">
        <v>141885</v>
      </c>
      <c r="G7" s="114">
        <v>0</v>
      </c>
      <c r="H7" s="115">
        <f t="shared" si="0"/>
        <v>141885</v>
      </c>
      <c r="I7" s="115">
        <f t="shared" si="1"/>
        <v>95317</v>
      </c>
      <c r="J7" s="116">
        <v>46568</v>
      </c>
      <c r="K7" s="117">
        <v>0</v>
      </c>
      <c r="L7" s="116">
        <v>0</v>
      </c>
      <c r="M7" s="114">
        <f>'14-03-2026'!J51</f>
        <v>1846651</v>
      </c>
      <c r="N7" s="117">
        <v>0</v>
      </c>
      <c r="O7" s="118">
        <v>131027</v>
      </c>
    </row>
    <row r="8" spans="1:16" x14ac:dyDescent="0.35">
      <c r="A8" s="110"/>
      <c r="C8" s="111" t="s">
        <v>14</v>
      </c>
      <c r="D8" s="112" t="s">
        <v>19</v>
      </c>
      <c r="E8" s="113" t="s">
        <v>95</v>
      </c>
      <c r="F8" s="114">
        <v>126981</v>
      </c>
      <c r="G8" s="114">
        <v>0</v>
      </c>
      <c r="H8" s="115">
        <f t="shared" si="0"/>
        <v>126981</v>
      </c>
      <c r="I8" s="115">
        <f t="shared" si="1"/>
        <v>107042</v>
      </c>
      <c r="J8" s="116">
        <v>19939</v>
      </c>
      <c r="K8" s="117">
        <v>0</v>
      </c>
      <c r="L8" s="116">
        <v>3060</v>
      </c>
      <c r="M8" s="114">
        <f>'14-03-2026'!J52</f>
        <v>1256464</v>
      </c>
      <c r="N8" s="117">
        <v>0</v>
      </c>
      <c r="O8" s="118">
        <v>53219</v>
      </c>
    </row>
    <row r="9" spans="1:16" x14ac:dyDescent="0.35">
      <c r="A9" s="110"/>
      <c r="C9" s="111" t="s">
        <v>14</v>
      </c>
      <c r="D9" s="112" t="s">
        <v>20</v>
      </c>
      <c r="E9" s="113" t="s">
        <v>97</v>
      </c>
      <c r="F9" s="114">
        <v>152692</v>
      </c>
      <c r="G9" s="114">
        <v>0</v>
      </c>
      <c r="H9" s="115">
        <f t="shared" si="0"/>
        <v>152692</v>
      </c>
      <c r="I9" s="115">
        <f t="shared" si="1"/>
        <v>119466</v>
      </c>
      <c r="J9" s="116">
        <v>33226</v>
      </c>
      <c r="K9" s="117">
        <v>0</v>
      </c>
      <c r="L9" s="116">
        <v>0</v>
      </c>
      <c r="M9" s="114">
        <f>'14-03-2026'!J53</f>
        <v>1304420</v>
      </c>
      <c r="N9" s="117">
        <v>0</v>
      </c>
      <c r="O9" s="118">
        <v>25125</v>
      </c>
    </row>
    <row r="10" spans="1:16" x14ac:dyDescent="0.35">
      <c r="A10" s="110"/>
      <c r="C10" s="111" t="s">
        <v>14</v>
      </c>
      <c r="D10" s="112" t="s">
        <v>21</v>
      </c>
      <c r="E10" s="113" t="s">
        <v>97</v>
      </c>
      <c r="F10" s="114">
        <v>147027</v>
      </c>
      <c r="G10" s="114">
        <v>1573</v>
      </c>
      <c r="H10" s="115">
        <f t="shared" si="0"/>
        <v>145454</v>
      </c>
      <c r="I10" s="115">
        <f t="shared" si="1"/>
        <v>0</v>
      </c>
      <c r="J10" s="116">
        <v>145454</v>
      </c>
      <c r="K10" s="117">
        <v>4397</v>
      </c>
      <c r="L10" s="116">
        <v>0</v>
      </c>
      <c r="M10" s="114">
        <f>'14-03-2026'!J54</f>
        <v>835362</v>
      </c>
      <c r="N10" s="117">
        <v>0</v>
      </c>
      <c r="O10" s="118">
        <v>72675</v>
      </c>
    </row>
    <row r="11" spans="1:16" x14ac:dyDescent="0.35">
      <c r="A11" s="120"/>
      <c r="C11" s="106" t="s">
        <v>22</v>
      </c>
      <c r="D11" s="106"/>
      <c r="E11" s="106"/>
      <c r="F11" s="121">
        <f t="shared" ref="F11:O11" si="2">SUM(F5:F10)</f>
        <v>1133122</v>
      </c>
      <c r="G11" s="121">
        <f t="shared" si="2"/>
        <v>1573</v>
      </c>
      <c r="H11" s="121">
        <f t="shared" si="2"/>
        <v>1131549</v>
      </c>
      <c r="I11" s="121">
        <f t="shared" si="2"/>
        <v>886362</v>
      </c>
      <c r="J11" s="121">
        <f t="shared" si="2"/>
        <v>245187</v>
      </c>
      <c r="K11" s="121">
        <f t="shared" si="2"/>
        <v>4397</v>
      </c>
      <c r="L11" s="121">
        <f t="shared" si="2"/>
        <v>3060</v>
      </c>
      <c r="M11" s="173">
        <f>SUM(M5:M10)</f>
        <v>8747069</v>
      </c>
      <c r="N11" s="121">
        <f t="shared" si="2"/>
        <v>0</v>
      </c>
      <c r="O11" s="121">
        <f t="shared" si="2"/>
        <v>298541</v>
      </c>
    </row>
    <row r="12" spans="1:16" x14ac:dyDescent="0.35">
      <c r="C12" s="111" t="s">
        <v>23</v>
      </c>
      <c r="D12" s="112" t="s">
        <v>24</v>
      </c>
      <c r="E12" s="113" t="s">
        <v>85</v>
      </c>
      <c r="F12" s="114">
        <v>92177</v>
      </c>
      <c r="G12" s="114">
        <v>635</v>
      </c>
      <c r="H12" s="115">
        <f t="shared" ref="H12:H30" si="3">F12-G12</f>
        <v>91542</v>
      </c>
      <c r="I12" s="115">
        <f t="shared" ref="I12:I30" si="4">H12-J12</f>
        <v>51923</v>
      </c>
      <c r="J12" s="116">
        <v>39619</v>
      </c>
      <c r="K12" s="117">
        <v>0</v>
      </c>
      <c r="L12" s="116">
        <v>0</v>
      </c>
      <c r="M12" s="114">
        <f>'14-03-2026'!J58</f>
        <v>442344</v>
      </c>
      <c r="N12" s="117">
        <v>0</v>
      </c>
      <c r="O12" s="116">
        <v>46568</v>
      </c>
    </row>
    <row r="13" spans="1:16" x14ac:dyDescent="0.35">
      <c r="C13" s="111" t="s">
        <v>23</v>
      </c>
      <c r="D13" s="112" t="s">
        <v>25</v>
      </c>
      <c r="E13" s="113" t="s">
        <v>85</v>
      </c>
      <c r="F13" s="114">
        <v>311350</v>
      </c>
      <c r="G13" s="114">
        <v>948</v>
      </c>
      <c r="H13" s="115">
        <f t="shared" si="3"/>
        <v>310402</v>
      </c>
      <c r="I13" s="115">
        <f t="shared" si="4"/>
        <v>251590</v>
      </c>
      <c r="J13" s="116">
        <v>58812</v>
      </c>
      <c r="K13" s="117">
        <v>0</v>
      </c>
      <c r="L13" s="116">
        <v>0</v>
      </c>
      <c r="M13" s="114">
        <f>'14-03-2026'!J59</f>
        <v>1639269</v>
      </c>
      <c r="N13" s="117">
        <v>0</v>
      </c>
      <c r="O13" s="116">
        <v>14187</v>
      </c>
    </row>
    <row r="14" spans="1:16" x14ac:dyDescent="0.35">
      <c r="C14" s="111" t="s">
        <v>23</v>
      </c>
      <c r="D14" s="112" t="s">
        <v>26</v>
      </c>
      <c r="E14" s="113" t="s">
        <v>85</v>
      </c>
      <c r="F14" s="114">
        <v>0</v>
      </c>
      <c r="G14" s="114">
        <v>0</v>
      </c>
      <c r="H14" s="115">
        <f t="shared" si="3"/>
        <v>0</v>
      </c>
      <c r="I14" s="115">
        <f t="shared" si="4"/>
        <v>0</v>
      </c>
      <c r="J14" s="116">
        <v>0</v>
      </c>
      <c r="K14" s="117">
        <v>0</v>
      </c>
      <c r="L14" s="116">
        <v>0</v>
      </c>
      <c r="M14" s="114">
        <f>'14-03-2026'!J60</f>
        <v>552603</v>
      </c>
      <c r="N14" s="117">
        <v>0</v>
      </c>
      <c r="O14" s="116">
        <v>95138</v>
      </c>
    </row>
    <row r="15" spans="1:16" x14ac:dyDescent="0.35">
      <c r="C15" s="111" t="s">
        <v>23</v>
      </c>
      <c r="D15" s="112" t="s">
        <v>20</v>
      </c>
      <c r="E15" s="113" t="s">
        <v>97</v>
      </c>
      <c r="F15" s="114">
        <v>24112</v>
      </c>
      <c r="G15" s="114">
        <v>0</v>
      </c>
      <c r="H15" s="115">
        <f t="shared" si="3"/>
        <v>24112</v>
      </c>
      <c r="I15" s="115">
        <f t="shared" si="4"/>
        <v>0</v>
      </c>
      <c r="J15" s="116">
        <v>24112</v>
      </c>
      <c r="K15" s="117">
        <v>0</v>
      </c>
      <c r="L15" s="116">
        <v>0</v>
      </c>
      <c r="M15" s="114">
        <f>'14-03-2026'!J61</f>
        <v>8160</v>
      </c>
      <c r="N15" s="117">
        <v>0</v>
      </c>
      <c r="O15" s="116">
        <v>0</v>
      </c>
    </row>
    <row r="16" spans="1:16" x14ac:dyDescent="0.35">
      <c r="C16" s="111" t="s">
        <v>23</v>
      </c>
      <c r="D16" s="112" t="s">
        <v>18</v>
      </c>
      <c r="E16" s="113" t="s">
        <v>97</v>
      </c>
      <c r="F16" s="114">
        <v>0</v>
      </c>
      <c r="G16" s="114">
        <v>0</v>
      </c>
      <c r="H16" s="115">
        <f t="shared" si="3"/>
        <v>0</v>
      </c>
      <c r="I16" s="115">
        <f t="shared" si="4"/>
        <v>0</v>
      </c>
      <c r="J16" s="116">
        <v>0</v>
      </c>
      <c r="K16" s="117">
        <v>0</v>
      </c>
      <c r="L16" s="116">
        <v>0</v>
      </c>
      <c r="M16" s="114">
        <v>0</v>
      </c>
      <c r="N16" s="117">
        <v>0</v>
      </c>
      <c r="O16" s="116">
        <v>0</v>
      </c>
    </row>
    <row r="17" spans="3:15" x14ac:dyDescent="0.35">
      <c r="C17" s="111" t="s">
        <v>23</v>
      </c>
      <c r="D17" s="106"/>
      <c r="E17" s="106"/>
      <c r="F17" s="121">
        <f>SUM(F12:F16)</f>
        <v>427639</v>
      </c>
      <c r="G17" s="121">
        <f>SUM(G12:G16)</f>
        <v>1583</v>
      </c>
      <c r="H17" s="121">
        <f>SUM(H12:H15)</f>
        <v>426056</v>
      </c>
      <c r="I17" s="121">
        <f>SUM(I12:I15)</f>
        <v>303513</v>
      </c>
      <c r="J17" s="121">
        <f>SUM(J12:J16)</f>
        <v>122543</v>
      </c>
      <c r="K17" s="121">
        <f>SUM(K12:K15)</f>
        <v>0</v>
      </c>
      <c r="L17" s="121">
        <f>SUM(L12:L15)</f>
        <v>0</v>
      </c>
      <c r="M17" s="121">
        <f>SUM(M12:M16)</f>
        <v>2642376</v>
      </c>
      <c r="N17" s="121">
        <f>SUM(N12:N15)</f>
        <v>0</v>
      </c>
      <c r="O17" s="121">
        <f>SUM(O12:O16)</f>
        <v>155893</v>
      </c>
    </row>
    <row r="18" spans="3:15" x14ac:dyDescent="0.35">
      <c r="C18" s="111" t="s">
        <v>27</v>
      </c>
      <c r="D18" s="112" t="s">
        <v>25</v>
      </c>
      <c r="E18" s="113" t="s">
        <v>16</v>
      </c>
      <c r="F18" s="114">
        <v>0</v>
      </c>
      <c r="G18" s="114">
        <v>0</v>
      </c>
      <c r="H18" s="115">
        <f t="shared" si="3"/>
        <v>0</v>
      </c>
      <c r="I18" s="115">
        <f t="shared" si="4"/>
        <v>0</v>
      </c>
      <c r="J18" s="116">
        <v>0</v>
      </c>
      <c r="K18" s="117">
        <v>0</v>
      </c>
      <c r="L18" s="116">
        <v>0</v>
      </c>
      <c r="M18" s="114">
        <f>'14-03-2026'!J62</f>
        <v>51257</v>
      </c>
      <c r="N18" s="117">
        <v>0</v>
      </c>
      <c r="O18" s="116">
        <v>0</v>
      </c>
    </row>
    <row r="19" spans="3:15" x14ac:dyDescent="0.35">
      <c r="C19" s="106"/>
      <c r="D19" s="106"/>
      <c r="E19" s="106"/>
      <c r="F19" s="121">
        <f>SUM(F18)</f>
        <v>0</v>
      </c>
      <c r="G19" s="121">
        <f t="shared" ref="G19:O19" si="5">SUM(G18)</f>
        <v>0</v>
      </c>
      <c r="H19" s="121">
        <f t="shared" si="5"/>
        <v>0</v>
      </c>
      <c r="I19" s="121">
        <f t="shared" si="5"/>
        <v>0</v>
      </c>
      <c r="J19" s="121">
        <f t="shared" si="5"/>
        <v>0</v>
      </c>
      <c r="K19" s="121">
        <f t="shared" si="5"/>
        <v>0</v>
      </c>
      <c r="L19" s="121">
        <f t="shared" si="5"/>
        <v>0</v>
      </c>
      <c r="M19" s="121">
        <f>SUM(M18)</f>
        <v>51257</v>
      </c>
      <c r="N19" s="121">
        <f t="shared" si="5"/>
        <v>0</v>
      </c>
      <c r="O19" s="121">
        <f t="shared" si="5"/>
        <v>0</v>
      </c>
    </row>
    <row r="20" spans="3:15" x14ac:dyDescent="0.35">
      <c r="C20" s="111" t="s">
        <v>28</v>
      </c>
      <c r="D20" s="112" t="s">
        <v>29</v>
      </c>
      <c r="E20" s="113" t="s">
        <v>16</v>
      </c>
      <c r="F20" s="114">
        <v>0</v>
      </c>
      <c r="G20" s="114">
        <v>0</v>
      </c>
      <c r="H20" s="115">
        <f t="shared" si="3"/>
        <v>0</v>
      </c>
      <c r="I20" s="115">
        <f t="shared" si="4"/>
        <v>0</v>
      </c>
      <c r="J20" s="116">
        <v>0</v>
      </c>
      <c r="K20" s="117">
        <v>0</v>
      </c>
      <c r="L20" s="116">
        <v>0</v>
      </c>
      <c r="M20" s="114">
        <f>'14-03-2026'!J73</f>
        <v>33969</v>
      </c>
      <c r="N20" s="117">
        <v>0</v>
      </c>
      <c r="O20" s="116">
        <v>0</v>
      </c>
    </row>
    <row r="21" spans="3:15" x14ac:dyDescent="0.35">
      <c r="C21" s="111" t="s">
        <v>28</v>
      </c>
      <c r="D21" s="112" t="s">
        <v>25</v>
      </c>
      <c r="E21" s="113" t="s">
        <v>84</v>
      </c>
      <c r="F21" s="114">
        <v>0</v>
      </c>
      <c r="G21" s="114">
        <v>0</v>
      </c>
      <c r="H21" s="115">
        <f t="shared" si="3"/>
        <v>0</v>
      </c>
      <c r="I21" s="115">
        <f t="shared" si="4"/>
        <v>0</v>
      </c>
      <c r="J21" s="116">
        <v>0</v>
      </c>
      <c r="K21" s="117">
        <v>0</v>
      </c>
      <c r="L21" s="116">
        <v>0</v>
      </c>
      <c r="M21" s="114">
        <f>'14-03-2026'!J74</f>
        <v>151366</v>
      </c>
      <c r="N21" s="117">
        <v>0</v>
      </c>
      <c r="O21" s="116">
        <v>0</v>
      </c>
    </row>
    <row r="22" spans="3:15" x14ac:dyDescent="0.35">
      <c r="C22" s="106" t="s">
        <v>22</v>
      </c>
      <c r="D22" s="106"/>
      <c r="E22" s="106"/>
      <c r="F22" s="121">
        <f t="shared" ref="F22:L22" si="6">SUM(F20:F21)</f>
        <v>0</v>
      </c>
      <c r="G22" s="121">
        <f t="shared" si="6"/>
        <v>0</v>
      </c>
      <c r="H22" s="121">
        <f t="shared" si="6"/>
        <v>0</v>
      </c>
      <c r="I22" s="121">
        <f t="shared" si="6"/>
        <v>0</v>
      </c>
      <c r="J22" s="121">
        <f t="shared" si="6"/>
        <v>0</v>
      </c>
      <c r="K22" s="121">
        <f>SUM(K20:K21)</f>
        <v>0</v>
      </c>
      <c r="L22" s="121">
        <f t="shared" si="6"/>
        <v>0</v>
      </c>
      <c r="M22" s="121">
        <f>SUM(M20:M21)</f>
        <v>185335</v>
      </c>
      <c r="N22" s="121">
        <f t="shared" ref="N22:O22" si="7">SUM(N20:N21)</f>
        <v>0</v>
      </c>
      <c r="O22" s="121">
        <f t="shared" si="7"/>
        <v>0</v>
      </c>
    </row>
    <row r="23" spans="3:15" x14ac:dyDescent="0.35">
      <c r="C23" s="111" t="s">
        <v>30</v>
      </c>
      <c r="D23" s="112" t="s">
        <v>29</v>
      </c>
      <c r="E23" s="113" t="s">
        <v>16</v>
      </c>
      <c r="F23" s="122">
        <v>0</v>
      </c>
      <c r="G23" s="122">
        <v>0</v>
      </c>
      <c r="H23" s="115">
        <f t="shared" si="3"/>
        <v>0</v>
      </c>
      <c r="I23" s="115">
        <f t="shared" si="4"/>
        <v>0</v>
      </c>
      <c r="J23" s="123">
        <v>0</v>
      </c>
      <c r="K23" s="124">
        <v>0</v>
      </c>
      <c r="L23" s="123">
        <v>0</v>
      </c>
      <c r="M23" s="122">
        <f>'14-03-2026'!J77</f>
        <v>89658</v>
      </c>
      <c r="N23" s="124">
        <v>0</v>
      </c>
      <c r="O23" s="123">
        <v>0</v>
      </c>
    </row>
    <row r="24" spans="3:15" x14ac:dyDescent="0.35">
      <c r="C24" s="111" t="s">
        <v>30</v>
      </c>
      <c r="D24" s="112" t="s">
        <v>31</v>
      </c>
      <c r="E24" s="113" t="s">
        <v>16</v>
      </c>
      <c r="F24" s="122">
        <v>0</v>
      </c>
      <c r="G24" s="122">
        <v>0</v>
      </c>
      <c r="H24" s="115">
        <f t="shared" si="3"/>
        <v>0</v>
      </c>
      <c r="I24" s="115">
        <f t="shared" si="4"/>
        <v>0</v>
      </c>
      <c r="J24" s="123">
        <v>0</v>
      </c>
      <c r="K24" s="124">
        <v>0</v>
      </c>
      <c r="L24" s="123">
        <v>0</v>
      </c>
      <c r="M24" s="122">
        <f>'14-03-2026'!J78</f>
        <v>17000</v>
      </c>
      <c r="N24" s="124">
        <v>0</v>
      </c>
      <c r="O24" s="123">
        <v>0</v>
      </c>
    </row>
    <row r="25" spans="3:15" x14ac:dyDescent="0.35">
      <c r="C25" s="106" t="s">
        <v>22</v>
      </c>
      <c r="D25" s="106"/>
      <c r="E25" s="106"/>
      <c r="F25" s="121">
        <f>SUM(F23:F24)</f>
        <v>0</v>
      </c>
      <c r="G25" s="121">
        <f t="shared" ref="G25:O25" si="8">SUM(G23:G24)</f>
        <v>0</v>
      </c>
      <c r="H25" s="121">
        <f t="shared" si="8"/>
        <v>0</v>
      </c>
      <c r="I25" s="121">
        <f t="shared" si="8"/>
        <v>0</v>
      </c>
      <c r="J25" s="121">
        <f t="shared" si="8"/>
        <v>0</v>
      </c>
      <c r="K25" s="121">
        <f t="shared" si="8"/>
        <v>0</v>
      </c>
      <c r="L25" s="121">
        <f t="shared" si="8"/>
        <v>0</v>
      </c>
      <c r="M25" s="121">
        <f t="shared" si="8"/>
        <v>106658</v>
      </c>
      <c r="N25" s="121">
        <f t="shared" si="8"/>
        <v>0</v>
      </c>
      <c r="O25" s="121">
        <f t="shared" si="8"/>
        <v>0</v>
      </c>
    </row>
    <row r="26" spans="3:15" x14ac:dyDescent="0.35">
      <c r="C26" s="111" t="s">
        <v>32</v>
      </c>
      <c r="D26" s="112" t="s">
        <v>33</v>
      </c>
      <c r="E26" s="113" t="s">
        <v>51</v>
      </c>
      <c r="F26" s="125">
        <v>155641</v>
      </c>
      <c r="G26" s="114">
        <v>0</v>
      </c>
      <c r="H26" s="115">
        <f t="shared" si="3"/>
        <v>155641</v>
      </c>
      <c r="I26" s="115">
        <f t="shared" si="4"/>
        <v>90559</v>
      </c>
      <c r="J26" s="116">
        <v>65082</v>
      </c>
      <c r="K26" s="117">
        <v>0</v>
      </c>
      <c r="L26" s="116">
        <v>0</v>
      </c>
      <c r="M26" s="114">
        <f>'14-03-2026'!J65</f>
        <v>1451839</v>
      </c>
      <c r="N26" s="117">
        <v>0</v>
      </c>
      <c r="O26" s="116">
        <v>40213</v>
      </c>
    </row>
    <row r="27" spans="3:15" x14ac:dyDescent="0.35">
      <c r="C27" s="111" t="s">
        <v>32</v>
      </c>
      <c r="D27" s="112" t="s">
        <v>33</v>
      </c>
      <c r="E27" s="113" t="s">
        <v>95</v>
      </c>
      <c r="F27" s="125">
        <v>139394</v>
      </c>
      <c r="G27" s="114">
        <v>0</v>
      </c>
      <c r="H27" s="115">
        <f t="shared" si="3"/>
        <v>139394</v>
      </c>
      <c r="I27" s="115">
        <f t="shared" si="4"/>
        <v>139394</v>
      </c>
      <c r="J27" s="116">
        <v>0</v>
      </c>
      <c r="K27" s="117">
        <v>0</v>
      </c>
      <c r="L27" s="116">
        <v>0</v>
      </c>
      <c r="M27" s="114">
        <v>0</v>
      </c>
      <c r="N27" s="117">
        <v>0</v>
      </c>
      <c r="O27" s="116">
        <v>0</v>
      </c>
    </row>
    <row r="28" spans="3:15" x14ac:dyDescent="0.35">
      <c r="C28" s="111" t="s">
        <v>32</v>
      </c>
      <c r="D28" s="112" t="s">
        <v>31</v>
      </c>
      <c r="E28" s="113" t="s">
        <v>16</v>
      </c>
      <c r="F28" s="125">
        <v>0</v>
      </c>
      <c r="G28" s="114">
        <v>0</v>
      </c>
      <c r="H28" s="115">
        <f t="shared" si="3"/>
        <v>0</v>
      </c>
      <c r="I28" s="115">
        <f t="shared" si="4"/>
        <v>0</v>
      </c>
      <c r="J28" s="116">
        <v>0</v>
      </c>
      <c r="K28" s="117">
        <v>0</v>
      </c>
      <c r="L28" s="116">
        <v>0</v>
      </c>
      <c r="M28" s="114">
        <f>'14-03-2026'!J66</f>
        <v>174473</v>
      </c>
      <c r="N28" s="117">
        <v>0</v>
      </c>
      <c r="O28" s="116">
        <v>0</v>
      </c>
    </row>
    <row r="29" spans="3:15" x14ac:dyDescent="0.35">
      <c r="C29" s="111" t="s">
        <v>32</v>
      </c>
      <c r="D29" s="112" t="s">
        <v>26</v>
      </c>
      <c r="E29" s="113" t="s">
        <v>16</v>
      </c>
      <c r="F29" s="125">
        <v>0</v>
      </c>
      <c r="G29" s="114">
        <v>0</v>
      </c>
      <c r="H29" s="115">
        <f t="shared" si="3"/>
        <v>0</v>
      </c>
      <c r="I29" s="115">
        <f t="shared" si="4"/>
        <v>0</v>
      </c>
      <c r="J29" s="116">
        <v>0</v>
      </c>
      <c r="K29" s="117">
        <v>0</v>
      </c>
      <c r="L29" s="116">
        <v>0</v>
      </c>
      <c r="M29" s="114">
        <f>'14-03-2026'!J67</f>
        <v>35126</v>
      </c>
      <c r="N29" s="117">
        <v>0</v>
      </c>
      <c r="O29" s="116">
        <v>0</v>
      </c>
    </row>
    <row r="30" spans="3:15" x14ac:dyDescent="0.35">
      <c r="C30" s="111" t="s">
        <v>32</v>
      </c>
      <c r="D30" s="112" t="s">
        <v>34</v>
      </c>
      <c r="E30" s="113" t="s">
        <v>84</v>
      </c>
      <c r="F30" s="125">
        <v>78546</v>
      </c>
      <c r="G30" s="114">
        <v>0</v>
      </c>
      <c r="H30" s="115">
        <f t="shared" si="3"/>
        <v>78546</v>
      </c>
      <c r="I30" s="115">
        <f t="shared" si="4"/>
        <v>78546</v>
      </c>
      <c r="J30" s="116">
        <v>0</v>
      </c>
      <c r="K30" s="117">
        <v>0</v>
      </c>
      <c r="L30" s="116">
        <v>0</v>
      </c>
      <c r="M30" s="114">
        <f>'14-03-2026'!J68</f>
        <v>1377671</v>
      </c>
      <c r="N30" s="117">
        <v>0</v>
      </c>
      <c r="O30" s="116">
        <v>65562</v>
      </c>
    </row>
    <row r="31" spans="3:15" x14ac:dyDescent="0.35">
      <c r="C31" s="106" t="s">
        <v>22</v>
      </c>
      <c r="D31" s="106"/>
      <c r="E31" s="106"/>
      <c r="F31" s="121">
        <f t="shared" ref="F31:O31" si="9">SUM(F26:F30)</f>
        <v>373581</v>
      </c>
      <c r="G31" s="121">
        <f t="shared" si="9"/>
        <v>0</v>
      </c>
      <c r="H31" s="121">
        <f t="shared" si="9"/>
        <v>373581</v>
      </c>
      <c r="I31" s="121">
        <f t="shared" si="9"/>
        <v>308499</v>
      </c>
      <c r="J31" s="121">
        <f t="shared" si="9"/>
        <v>65082</v>
      </c>
      <c r="K31" s="121">
        <f t="shared" si="9"/>
        <v>0</v>
      </c>
      <c r="L31" s="121">
        <f t="shared" si="9"/>
        <v>0</v>
      </c>
      <c r="M31" s="121">
        <f t="shared" si="9"/>
        <v>3039109</v>
      </c>
      <c r="N31" s="121">
        <f t="shared" si="9"/>
        <v>0</v>
      </c>
      <c r="O31" s="121">
        <f t="shared" si="9"/>
        <v>105775</v>
      </c>
    </row>
    <row r="32" spans="3:15" x14ac:dyDescent="0.35">
      <c r="C32" s="126" t="s">
        <v>35</v>
      </c>
      <c r="D32" s="126"/>
      <c r="E32" s="126"/>
      <c r="F32" s="127">
        <f t="shared" ref="F32:O32" si="10">F31+F25+F22+F19+F17+F11</f>
        <v>1934342</v>
      </c>
      <c r="G32" s="127">
        <f t="shared" si="10"/>
        <v>3156</v>
      </c>
      <c r="H32" s="127">
        <f t="shared" si="10"/>
        <v>1931186</v>
      </c>
      <c r="I32" s="127">
        <f t="shared" si="10"/>
        <v>1498374</v>
      </c>
      <c r="J32" s="127">
        <f t="shared" si="10"/>
        <v>432812</v>
      </c>
      <c r="K32" s="127">
        <f t="shared" si="10"/>
        <v>4397</v>
      </c>
      <c r="L32" s="127">
        <f t="shared" si="10"/>
        <v>3060</v>
      </c>
      <c r="M32" s="127">
        <f t="shared" si="10"/>
        <v>14771804</v>
      </c>
      <c r="N32" s="127">
        <f t="shared" si="10"/>
        <v>0</v>
      </c>
      <c r="O32" s="127">
        <f t="shared" si="10"/>
        <v>560209</v>
      </c>
    </row>
    <row r="33" spans="3:15" x14ac:dyDescent="0.35">
      <c r="F33" s="128" t="s">
        <v>36</v>
      </c>
      <c r="G33" s="116">
        <f>O11+L11+J11-K11</f>
        <v>542391</v>
      </c>
      <c r="H33" s="252"/>
      <c r="I33" s="253"/>
      <c r="J33" s="129"/>
      <c r="K33" s="130"/>
      <c r="L33" s="130"/>
    </row>
    <row r="34" spans="3:15" x14ac:dyDescent="0.35">
      <c r="F34" s="131" t="s">
        <v>37</v>
      </c>
      <c r="G34" s="116">
        <f>O17+L17+J17-K17+O19+L19+J19-K19</f>
        <v>278436</v>
      </c>
      <c r="H34" s="132"/>
      <c r="I34" s="133" t="s">
        <v>89</v>
      </c>
      <c r="J34" s="133" t="s">
        <v>90</v>
      </c>
      <c r="K34" s="239" t="s">
        <v>88</v>
      </c>
      <c r="L34" s="238"/>
      <c r="M34" s="254" t="s">
        <v>87</v>
      </c>
      <c r="N34" s="255"/>
      <c r="O34" s="256"/>
    </row>
    <row r="35" spans="3:15" x14ac:dyDescent="0.35">
      <c r="C35" s="257" t="s">
        <v>68</v>
      </c>
      <c r="D35" s="258"/>
      <c r="F35" s="134" t="s">
        <v>38</v>
      </c>
      <c r="G35" s="116">
        <f>O22+L22+J22-K22</f>
        <v>0</v>
      </c>
      <c r="H35" s="132"/>
      <c r="I35" s="133"/>
      <c r="J35" s="135"/>
      <c r="K35" s="239"/>
      <c r="L35" s="238"/>
      <c r="M35" s="136"/>
      <c r="N35" s="137"/>
      <c r="O35" s="138"/>
    </row>
    <row r="36" spans="3:15" x14ac:dyDescent="0.35">
      <c r="C36" s="139"/>
      <c r="D36" s="139"/>
      <c r="F36" s="140" t="s">
        <v>30</v>
      </c>
      <c r="G36" s="116">
        <f>O25+L25+J25-K25</f>
        <v>0</v>
      </c>
      <c r="H36" s="132"/>
      <c r="I36" s="141"/>
      <c r="J36" s="135"/>
      <c r="K36" s="239"/>
      <c r="L36" s="238"/>
      <c r="M36" s="136"/>
      <c r="N36" s="137"/>
      <c r="O36" s="138"/>
    </row>
    <row r="37" spans="3:15" x14ac:dyDescent="0.35">
      <c r="C37" s="139"/>
      <c r="D37" s="139"/>
      <c r="F37" s="128" t="s">
        <v>39</v>
      </c>
      <c r="G37" s="116">
        <f>O31+L31+J31-K31</f>
        <v>170857</v>
      </c>
      <c r="H37" s="132"/>
      <c r="I37" s="141"/>
      <c r="J37" s="135"/>
      <c r="K37" s="239"/>
      <c r="L37" s="238"/>
      <c r="M37" s="136"/>
      <c r="N37" s="137"/>
      <c r="O37" s="138"/>
    </row>
    <row r="38" spans="3:15" x14ac:dyDescent="0.35">
      <c r="C38" s="139"/>
      <c r="D38" s="139"/>
      <c r="F38" s="142" t="s">
        <v>40</v>
      </c>
      <c r="G38" s="143">
        <f>SUM(G33:G37)</f>
        <v>991684</v>
      </c>
      <c r="I38" s="139"/>
      <c r="J38" s="135"/>
      <c r="K38" s="239"/>
      <c r="L38" s="238"/>
      <c r="M38" s="136"/>
      <c r="N38" s="137"/>
      <c r="O38" s="138"/>
    </row>
    <row r="39" spans="3:15" x14ac:dyDescent="0.35">
      <c r="C39" s="139"/>
      <c r="D39" s="139"/>
      <c r="F39" s="144"/>
      <c r="G39" s="145"/>
      <c r="I39" s="139"/>
      <c r="J39" s="135"/>
      <c r="K39" s="239"/>
      <c r="L39" s="238"/>
      <c r="M39" s="136"/>
      <c r="N39" s="137"/>
      <c r="O39" s="138"/>
    </row>
    <row r="40" spans="3:15" x14ac:dyDescent="0.35">
      <c r="C40" s="139"/>
      <c r="D40" s="139"/>
      <c r="F40" s="144"/>
      <c r="G40" s="145"/>
      <c r="I40" s="139"/>
      <c r="J40" s="135"/>
      <c r="K40" s="137"/>
      <c r="L40" s="137"/>
      <c r="M40" s="136"/>
      <c r="N40" s="137"/>
      <c r="O40" s="138"/>
    </row>
    <row r="41" spans="3:15" x14ac:dyDescent="0.35">
      <c r="C41" s="139"/>
      <c r="D41" s="139"/>
      <c r="F41" s="144"/>
      <c r="G41" s="145"/>
      <c r="I41" s="139"/>
      <c r="J41" s="135"/>
      <c r="K41" s="137"/>
      <c r="L41" s="137"/>
      <c r="M41" s="136"/>
      <c r="N41" s="137"/>
      <c r="O41" s="138"/>
    </row>
    <row r="42" spans="3:15" x14ac:dyDescent="0.35">
      <c r="C42" s="139"/>
      <c r="D42" s="139"/>
      <c r="F42" s="144"/>
      <c r="G42" s="145"/>
      <c r="I42" s="139"/>
      <c r="J42" s="135"/>
      <c r="K42" s="137"/>
      <c r="L42" s="137"/>
      <c r="M42" s="136"/>
      <c r="N42" s="137"/>
      <c r="O42" s="138"/>
    </row>
    <row r="43" spans="3:15" x14ac:dyDescent="0.35">
      <c r="C43" s="139"/>
      <c r="D43" s="139"/>
      <c r="F43" s="144"/>
      <c r="G43" s="145"/>
      <c r="I43" s="139"/>
      <c r="J43" s="135"/>
      <c r="K43" s="237"/>
      <c r="L43" s="238"/>
      <c r="M43" s="237"/>
      <c r="N43" s="239"/>
      <c r="O43" s="238"/>
    </row>
    <row r="44" spans="3:15" x14ac:dyDescent="0.35">
      <c r="C44" s="139"/>
      <c r="D44" s="139"/>
      <c r="F44" s="144"/>
      <c r="G44" s="145"/>
      <c r="I44" s="139"/>
      <c r="J44" s="133"/>
      <c r="K44" s="237"/>
      <c r="L44" s="238"/>
      <c r="M44" s="237"/>
      <c r="N44" s="239"/>
      <c r="O44" s="238"/>
    </row>
    <row r="45" spans="3:15" x14ac:dyDescent="0.35">
      <c r="C45" s="139"/>
      <c r="D45" s="139"/>
      <c r="F45" s="144"/>
      <c r="G45" s="145"/>
      <c r="I45" s="139"/>
      <c r="J45" s="133"/>
      <c r="K45" s="237"/>
      <c r="L45" s="238"/>
      <c r="M45" s="237"/>
      <c r="N45" s="239"/>
      <c r="O45" s="238"/>
    </row>
    <row r="46" spans="3:15" x14ac:dyDescent="0.35">
      <c r="C46" s="139"/>
      <c r="D46" s="139"/>
      <c r="F46" s="144"/>
      <c r="G46" s="145"/>
      <c r="I46" s="139"/>
      <c r="J46" s="133"/>
      <c r="K46" s="237"/>
      <c r="L46" s="238"/>
      <c r="M46" s="237"/>
      <c r="N46" s="239"/>
      <c r="O46" s="238"/>
    </row>
    <row r="47" spans="3:15" x14ac:dyDescent="0.35">
      <c r="C47" s="139"/>
      <c r="D47" s="139"/>
      <c r="F47" s="144"/>
      <c r="G47" s="145"/>
      <c r="I47" s="139"/>
      <c r="J47" s="133"/>
      <c r="K47" s="237"/>
      <c r="L47" s="238"/>
      <c r="M47" s="237"/>
      <c r="N47" s="239"/>
      <c r="O47" s="238"/>
    </row>
    <row r="48" spans="3:15" x14ac:dyDescent="0.35">
      <c r="H48" s="240" t="s">
        <v>41</v>
      </c>
      <c r="I48" s="240"/>
      <c r="J48" s="240"/>
      <c r="K48" s="241"/>
      <c r="L48" s="110"/>
      <c r="M48" s="146"/>
    </row>
    <row r="49" spans="3:14" x14ac:dyDescent="0.35">
      <c r="H49" s="147" t="s">
        <v>42</v>
      </c>
      <c r="I49" s="147" t="s">
        <v>43</v>
      </c>
      <c r="J49" s="147" t="s">
        <v>44</v>
      </c>
      <c r="K49" s="241"/>
      <c r="L49" s="146"/>
    </row>
    <row r="50" spans="3:14" x14ac:dyDescent="0.35">
      <c r="F50" s="148"/>
      <c r="H50" s="104" t="s">
        <v>14</v>
      </c>
      <c r="I50" s="104" t="s">
        <v>15</v>
      </c>
      <c r="J50" s="148">
        <f>M5-O5-N5-L5+I5</f>
        <v>328010</v>
      </c>
      <c r="K50" s="149">
        <v>328010</v>
      </c>
      <c r="L50" s="150">
        <f>J50-K50</f>
        <v>0</v>
      </c>
      <c r="M50" s="148"/>
    </row>
    <row r="51" spans="3:14" x14ac:dyDescent="0.35">
      <c r="C51" s="242">
        <v>45931</v>
      </c>
      <c r="D51" s="242"/>
      <c r="E51" s="242"/>
      <c r="H51" s="104" t="s">
        <v>14</v>
      </c>
      <c r="I51" s="104" t="s">
        <v>17</v>
      </c>
      <c r="J51" s="148">
        <f>M6-O6-N6-L6+I6+G51</f>
        <v>3724204</v>
      </c>
      <c r="K51" s="149">
        <v>3724203</v>
      </c>
      <c r="L51" s="150">
        <f t="shared" ref="L51:L62" si="11">J51-K51</f>
        <v>1</v>
      </c>
      <c r="M51" s="148"/>
    </row>
    <row r="52" spans="3:14" x14ac:dyDescent="0.35">
      <c r="C52" s="243" t="s">
        <v>63</v>
      </c>
      <c r="D52" s="243"/>
      <c r="E52" s="243"/>
      <c r="H52" s="104" t="s">
        <v>14</v>
      </c>
      <c r="I52" s="104" t="s">
        <v>18</v>
      </c>
      <c r="J52" s="148">
        <f>M7-O7-N7-L7+I7+G52</f>
        <v>1810941</v>
      </c>
      <c r="K52" s="149">
        <v>1810942</v>
      </c>
      <c r="L52" s="150">
        <f t="shared" si="11"/>
        <v>-1</v>
      </c>
      <c r="M52" s="148"/>
    </row>
    <row r="53" spans="3:14" x14ac:dyDescent="0.35">
      <c r="C53" s="139" t="s">
        <v>64</v>
      </c>
      <c r="D53" s="225">
        <f>'Opening Balance FEB 2026'!J4</f>
        <v>1308640</v>
      </c>
      <c r="E53" s="226"/>
      <c r="H53" s="104" t="s">
        <v>14</v>
      </c>
      <c r="I53" s="104" t="s">
        <v>19</v>
      </c>
      <c r="J53" s="148">
        <f>M8-O8-N8-L8+I8+G53</f>
        <v>1307227</v>
      </c>
      <c r="K53" s="149">
        <v>1307259</v>
      </c>
      <c r="L53" s="150">
        <f t="shared" si="11"/>
        <v>-32</v>
      </c>
      <c r="M53" s="148"/>
    </row>
    <row r="54" spans="3:14" x14ac:dyDescent="0.35">
      <c r="C54" s="139" t="s">
        <v>65</v>
      </c>
      <c r="D54" s="225">
        <f>G38</f>
        <v>991684</v>
      </c>
      <c r="E54" s="226"/>
      <c r="H54" s="104" t="s">
        <v>14</v>
      </c>
      <c r="I54" s="104" t="s">
        <v>20</v>
      </c>
      <c r="J54" s="148">
        <f>M9-O9-N9-L9+I9+G54</f>
        <v>1398761</v>
      </c>
      <c r="K54" s="149">
        <v>1398761</v>
      </c>
      <c r="L54" s="150">
        <f t="shared" si="11"/>
        <v>0</v>
      </c>
      <c r="M54" s="148"/>
    </row>
    <row r="55" spans="3:14" x14ac:dyDescent="0.35">
      <c r="C55" s="151" t="s">
        <v>45</v>
      </c>
      <c r="D55" s="244">
        <f>D53+D54</f>
        <v>2300324</v>
      </c>
      <c r="E55" s="245"/>
      <c r="H55" s="104" t="s">
        <v>14</v>
      </c>
      <c r="I55" s="104" t="s">
        <v>21</v>
      </c>
      <c r="J55" s="148">
        <f>M10-O10-N10-L10+I10+G55</f>
        <v>762687</v>
      </c>
      <c r="K55" s="149">
        <v>762688</v>
      </c>
      <c r="L55" s="150">
        <f t="shared" si="11"/>
        <v>-1</v>
      </c>
    </row>
    <row r="56" spans="3:14" x14ac:dyDescent="0.35">
      <c r="C56" s="139" t="s">
        <v>66</v>
      </c>
      <c r="D56" s="235">
        <v>0</v>
      </c>
      <c r="E56" s="236"/>
      <c r="H56" s="152" t="s">
        <v>45</v>
      </c>
      <c r="I56" s="152"/>
      <c r="J56" s="153">
        <f>SUM(J50:J55)</f>
        <v>9331830</v>
      </c>
      <c r="K56" s="154">
        <v>9331830</v>
      </c>
      <c r="L56" s="150">
        <f t="shared" si="11"/>
        <v>0</v>
      </c>
    </row>
    <row r="57" spans="3:14" x14ac:dyDescent="0.35">
      <c r="C57" s="139" t="s">
        <v>78</v>
      </c>
      <c r="D57" s="235">
        <v>0</v>
      </c>
      <c r="E57" s="236"/>
      <c r="H57" s="152"/>
      <c r="I57" s="152"/>
      <c r="J57" s="153"/>
      <c r="K57" s="155"/>
      <c r="L57" s="150"/>
    </row>
    <row r="58" spans="3:14" x14ac:dyDescent="0.35">
      <c r="C58" s="139" t="s">
        <v>75</v>
      </c>
      <c r="D58" s="235">
        <v>10000</v>
      </c>
      <c r="E58" s="236"/>
      <c r="H58" s="147" t="s">
        <v>42</v>
      </c>
      <c r="I58" s="147" t="s">
        <v>43</v>
      </c>
      <c r="J58" s="147" t="s">
        <v>44</v>
      </c>
      <c r="K58" s="146"/>
      <c r="L58" s="150"/>
    </row>
    <row r="59" spans="3:14" x14ac:dyDescent="0.35">
      <c r="C59" s="156" t="s">
        <v>83</v>
      </c>
      <c r="D59" s="227">
        <f>SUM(D56:E58)</f>
        <v>10000</v>
      </c>
      <c r="E59" s="228"/>
      <c r="H59" s="104" t="s">
        <v>46</v>
      </c>
      <c r="I59" s="104" t="s">
        <v>48</v>
      </c>
      <c r="J59" s="148">
        <f>M12-O12-N12-L12+I12</f>
        <v>447699</v>
      </c>
      <c r="K59" s="149">
        <v>447699</v>
      </c>
      <c r="L59" s="150">
        <f t="shared" si="11"/>
        <v>0</v>
      </c>
    </row>
    <row r="60" spans="3:14" x14ac:dyDescent="0.35">
      <c r="C60" s="157" t="s">
        <v>67</v>
      </c>
      <c r="D60" s="229">
        <f>D55-D56-D58-D57</f>
        <v>2290324</v>
      </c>
      <c r="E60" s="230"/>
      <c r="H60" s="104" t="s">
        <v>46</v>
      </c>
      <c r="I60" s="104" t="s">
        <v>47</v>
      </c>
      <c r="J60" s="148">
        <f>M13-O13-N13-L13+I13</f>
        <v>1876672</v>
      </c>
      <c r="K60" s="149">
        <v>1921672</v>
      </c>
      <c r="L60" s="150">
        <f t="shared" si="11"/>
        <v>-45000</v>
      </c>
      <c r="N60" s="148"/>
    </row>
    <row r="61" spans="3:14" x14ac:dyDescent="0.35">
      <c r="C61" s="158" t="s">
        <v>68</v>
      </c>
      <c r="D61" s="231"/>
      <c r="E61" s="232"/>
      <c r="H61" s="104" t="s">
        <v>46</v>
      </c>
      <c r="I61" s="104" t="s">
        <v>15</v>
      </c>
      <c r="J61" s="148">
        <f>M14-O14-N14-L14+I14</f>
        <v>457465</v>
      </c>
      <c r="K61" s="149">
        <v>457465</v>
      </c>
      <c r="L61" s="150">
        <f t="shared" si="11"/>
        <v>0</v>
      </c>
      <c r="M61" s="148"/>
      <c r="N61" s="148"/>
    </row>
    <row r="62" spans="3:14" x14ac:dyDescent="0.35">
      <c r="C62" s="139" t="s">
        <v>14</v>
      </c>
      <c r="D62" s="225">
        <v>0</v>
      </c>
      <c r="E62" s="226"/>
      <c r="H62" s="104" t="s">
        <v>46</v>
      </c>
      <c r="I62" s="104" t="s">
        <v>20</v>
      </c>
      <c r="J62" s="148">
        <v>8160</v>
      </c>
      <c r="K62" s="149">
        <v>8160</v>
      </c>
      <c r="L62" s="150">
        <f t="shared" si="11"/>
        <v>0</v>
      </c>
    </row>
    <row r="63" spans="3:14" x14ac:dyDescent="0.35">
      <c r="C63" s="139" t="s">
        <v>72</v>
      </c>
      <c r="D63" s="225">
        <v>0</v>
      </c>
      <c r="E63" s="226"/>
      <c r="H63" s="104" t="s">
        <v>27</v>
      </c>
      <c r="I63" s="104" t="s">
        <v>47</v>
      </c>
      <c r="J63" s="148">
        <f>M18-O18-N18-L18+I18</f>
        <v>51257</v>
      </c>
      <c r="K63" s="149">
        <v>51257</v>
      </c>
      <c r="L63" s="150">
        <f>J63-K63</f>
        <v>0</v>
      </c>
    </row>
    <row r="64" spans="3:14" x14ac:dyDescent="0.35">
      <c r="C64" s="139" t="s">
        <v>69</v>
      </c>
      <c r="D64" s="225">
        <v>0</v>
      </c>
      <c r="E64" s="226"/>
      <c r="H64" s="152" t="s">
        <v>45</v>
      </c>
      <c r="I64" s="152"/>
      <c r="J64" s="153">
        <f>SUM(J59:J63)</f>
        <v>2841253</v>
      </c>
      <c r="K64" s="149">
        <f>SUM(K59:K63)</f>
        <v>2886253</v>
      </c>
      <c r="L64" s="150">
        <f>J64-K64</f>
        <v>-45000</v>
      </c>
    </row>
    <row r="65" spans="3:14" x14ac:dyDescent="0.35">
      <c r="C65" s="139" t="s">
        <v>70</v>
      </c>
      <c r="D65" s="225">
        <v>0</v>
      </c>
      <c r="E65" s="226"/>
      <c r="F65" s="148"/>
      <c r="H65" s="147" t="s">
        <v>42</v>
      </c>
      <c r="I65" s="147" t="s">
        <v>43</v>
      </c>
      <c r="J65" s="147" t="s">
        <v>44</v>
      </c>
    </row>
    <row r="66" spans="3:14" x14ac:dyDescent="0.35">
      <c r="C66" s="139" t="s">
        <v>71</v>
      </c>
      <c r="D66" s="225">
        <v>0</v>
      </c>
      <c r="E66" s="226"/>
      <c r="F66" s="159"/>
      <c r="G66" s="160"/>
      <c r="H66" s="104" t="s">
        <v>49</v>
      </c>
      <c r="I66" s="104" t="s">
        <v>51</v>
      </c>
      <c r="J66" s="148">
        <f>M26-O26-N26-L26+I26+I27</f>
        <v>1641579</v>
      </c>
      <c r="K66" s="149">
        <v>1641579</v>
      </c>
      <c r="L66" s="150">
        <f t="shared" ref="L66:L72" si="12">J66-K66</f>
        <v>0</v>
      </c>
      <c r="N66" s="148"/>
    </row>
    <row r="67" spans="3:14" x14ac:dyDescent="0.35">
      <c r="C67" s="157" t="s">
        <v>73</v>
      </c>
      <c r="D67" s="229">
        <f>SUM(D62:D66)</f>
        <v>0</v>
      </c>
      <c r="E67" s="230"/>
      <c r="F67" s="148"/>
      <c r="H67" s="104" t="s">
        <v>49</v>
      </c>
      <c r="I67" s="104" t="s">
        <v>18</v>
      </c>
      <c r="J67" s="148">
        <f>M28-O28-N28-L28+I28</f>
        <v>174473</v>
      </c>
      <c r="K67" s="149">
        <v>174473</v>
      </c>
      <c r="L67" s="150">
        <f t="shared" si="12"/>
        <v>0</v>
      </c>
    </row>
    <row r="68" spans="3:14" x14ac:dyDescent="0.35">
      <c r="C68" s="161" t="s">
        <v>74</v>
      </c>
      <c r="D68" s="233">
        <f>D60-D67</f>
        <v>2290324</v>
      </c>
      <c r="E68" s="234"/>
      <c r="F68" s="148"/>
      <c r="H68" s="104" t="s">
        <v>49</v>
      </c>
      <c r="I68" s="104" t="s">
        <v>15</v>
      </c>
      <c r="J68" s="148">
        <f>M29-O29-N29-L29+I29</f>
        <v>35126</v>
      </c>
      <c r="K68" s="149">
        <v>35126</v>
      </c>
      <c r="L68" s="150">
        <f t="shared" si="12"/>
        <v>0</v>
      </c>
    </row>
    <row r="69" spans="3:14" x14ac:dyDescent="0.35">
      <c r="C69" s="139"/>
      <c r="D69" s="225">
        <v>3102990</v>
      </c>
      <c r="E69" s="226"/>
      <c r="H69" s="104" t="s">
        <v>49</v>
      </c>
      <c r="I69" s="104" t="s">
        <v>50</v>
      </c>
      <c r="J69" s="148">
        <f>M30-O30-N30-L30+I30+G69</f>
        <v>1390655</v>
      </c>
      <c r="K69" s="149">
        <v>1390655</v>
      </c>
      <c r="L69" s="150">
        <f t="shared" si="12"/>
        <v>0</v>
      </c>
    </row>
    <row r="70" spans="3:14" x14ac:dyDescent="0.35">
      <c r="C70" s="139"/>
      <c r="D70" s="225">
        <f>D68-D69</f>
        <v>-812666</v>
      </c>
      <c r="E70" s="226"/>
      <c r="H70" s="104" t="s">
        <v>49</v>
      </c>
      <c r="I70" s="104" t="s">
        <v>20</v>
      </c>
      <c r="J70" s="148">
        <f>'Opening Balance FEB 2026'!F24</f>
        <v>66046</v>
      </c>
      <c r="K70" s="149">
        <v>66046</v>
      </c>
      <c r="L70" s="150">
        <f t="shared" si="12"/>
        <v>0</v>
      </c>
    </row>
    <row r="71" spans="3:14" x14ac:dyDescent="0.35">
      <c r="H71" s="104" t="s">
        <v>49</v>
      </c>
      <c r="I71" s="104" t="s">
        <v>47</v>
      </c>
      <c r="J71" s="148">
        <f>'Opening Balance FEB 2026'!F25</f>
        <v>23570</v>
      </c>
      <c r="K71" s="149">
        <v>23570</v>
      </c>
      <c r="L71" s="150">
        <f t="shared" si="12"/>
        <v>0</v>
      </c>
    </row>
    <row r="72" spans="3:14" x14ac:dyDescent="0.35">
      <c r="H72" s="152" t="s">
        <v>45</v>
      </c>
      <c r="I72" s="152"/>
      <c r="J72" s="153">
        <f>SUM(J66:J71)</f>
        <v>3331449</v>
      </c>
      <c r="K72" s="149">
        <v>3326449</v>
      </c>
      <c r="L72" s="150">
        <f t="shared" si="12"/>
        <v>5000</v>
      </c>
      <c r="N72" s="148"/>
    </row>
    <row r="73" spans="3:14" x14ac:dyDescent="0.35">
      <c r="H73" s="147" t="s">
        <v>42</v>
      </c>
      <c r="I73" s="147" t="s">
        <v>43</v>
      </c>
      <c r="J73" s="147" t="s">
        <v>44</v>
      </c>
    </row>
    <row r="74" spans="3:14" x14ac:dyDescent="0.35">
      <c r="H74" s="104" t="s">
        <v>52</v>
      </c>
      <c r="I74" s="104" t="s">
        <v>53</v>
      </c>
      <c r="J74" s="148">
        <f>M20-O20-N20-L20+I20-G73</f>
        <v>33969</v>
      </c>
      <c r="K74" s="148">
        <v>33969</v>
      </c>
      <c r="L74" s="150">
        <f>J74-K74</f>
        <v>0</v>
      </c>
    </row>
    <row r="75" spans="3:14" x14ac:dyDescent="0.35">
      <c r="H75" s="104" t="s">
        <v>52</v>
      </c>
      <c r="I75" s="104" t="s">
        <v>47</v>
      </c>
      <c r="J75" s="148">
        <f>M21-O21-N21-L21+I21</f>
        <v>151366</v>
      </c>
      <c r="K75" s="162">
        <v>151366</v>
      </c>
      <c r="L75" s="150">
        <f>J75-K75</f>
        <v>0</v>
      </c>
    </row>
    <row r="76" spans="3:14" x14ac:dyDescent="0.35">
      <c r="H76" s="152" t="s">
        <v>45</v>
      </c>
      <c r="I76" s="152"/>
      <c r="J76" s="153">
        <f>SUM(J74:J75)</f>
        <v>185335</v>
      </c>
      <c r="K76" s="148">
        <v>160846</v>
      </c>
      <c r="L76" s="150">
        <f>J76-K76</f>
        <v>24489</v>
      </c>
    </row>
    <row r="77" spans="3:14" x14ac:dyDescent="0.35">
      <c r="G77" s="104">
        <v>0</v>
      </c>
      <c r="H77" s="147" t="s">
        <v>42</v>
      </c>
      <c r="I77" s="147" t="s">
        <v>43</v>
      </c>
      <c r="J77" s="147" t="s">
        <v>44</v>
      </c>
      <c r="K77" s="149">
        <v>0</v>
      </c>
      <c r="L77" s="150"/>
    </row>
    <row r="78" spans="3:14" x14ac:dyDescent="0.35">
      <c r="H78" s="104" t="s">
        <v>54</v>
      </c>
      <c r="I78" s="104" t="s">
        <v>53</v>
      </c>
      <c r="J78" s="148">
        <f>M23-O23-N23-L23+I23-G77</f>
        <v>89658</v>
      </c>
      <c r="K78" s="149">
        <v>89658</v>
      </c>
      <c r="L78" s="150">
        <f>J78-K78</f>
        <v>0</v>
      </c>
    </row>
    <row r="79" spans="3:14" x14ac:dyDescent="0.35">
      <c r="H79" s="104" t="s">
        <v>54</v>
      </c>
      <c r="I79" s="104" t="s">
        <v>18</v>
      </c>
      <c r="J79" s="148">
        <f>M24-O24-N24-L24+I24</f>
        <v>17000</v>
      </c>
      <c r="K79" s="149">
        <v>67000</v>
      </c>
      <c r="L79" s="150">
        <f>J79-K79</f>
        <v>-50000</v>
      </c>
    </row>
    <row r="80" spans="3:14" x14ac:dyDescent="0.35">
      <c r="H80" s="152" t="s">
        <v>45</v>
      </c>
      <c r="I80" s="152"/>
      <c r="J80" s="153">
        <f>SUM(J78:J79)</f>
        <v>106658</v>
      </c>
      <c r="K80" s="148">
        <f>SUM(K77:K79)</f>
        <v>156658</v>
      </c>
      <c r="L80" s="150">
        <f>J80-K80</f>
        <v>-50000</v>
      </c>
    </row>
    <row r="81" spans="4:12" x14ac:dyDescent="0.35">
      <c r="H81" s="147" t="s">
        <v>42</v>
      </c>
      <c r="I81" s="147" t="s">
        <v>43</v>
      </c>
      <c r="J81" s="147" t="s">
        <v>44</v>
      </c>
      <c r="K81" s="149">
        <v>0</v>
      </c>
      <c r="L81" s="150"/>
    </row>
    <row r="82" spans="4:12" x14ac:dyDescent="0.35">
      <c r="H82" s="104" t="s">
        <v>55</v>
      </c>
      <c r="I82" s="104" t="s">
        <v>56</v>
      </c>
      <c r="J82" s="148">
        <f>'Opening Balance FEB 2026'!F36</f>
        <v>103541</v>
      </c>
      <c r="K82" s="149">
        <v>103541</v>
      </c>
      <c r="L82" s="150">
        <f>J82-K82</f>
        <v>0</v>
      </c>
    </row>
    <row r="83" spans="4:12" x14ac:dyDescent="0.35">
      <c r="H83" s="104" t="s">
        <v>55</v>
      </c>
      <c r="I83" s="104" t="s">
        <v>47</v>
      </c>
      <c r="J83" s="148">
        <f>'Opening Balance FEB 2026'!F37</f>
        <v>6013</v>
      </c>
      <c r="K83" s="149">
        <v>6013</v>
      </c>
      <c r="L83" s="150">
        <f>J83-K83</f>
        <v>0</v>
      </c>
    </row>
    <row r="84" spans="4:12" x14ac:dyDescent="0.35">
      <c r="H84" s="152" t="s">
        <v>45</v>
      </c>
      <c r="I84" s="152"/>
      <c r="J84" s="153">
        <v>109554</v>
      </c>
      <c r="K84" s="148">
        <f>SUM(K81:K83)</f>
        <v>109554</v>
      </c>
      <c r="L84" s="150">
        <f>J84-K84</f>
        <v>0</v>
      </c>
    </row>
    <row r="85" spans="4:12" x14ac:dyDescent="0.35">
      <c r="H85" s="147" t="s">
        <v>42</v>
      </c>
      <c r="I85" s="147" t="s">
        <v>43</v>
      </c>
      <c r="J85" s="147" t="s">
        <v>44</v>
      </c>
      <c r="K85" s="149">
        <v>0</v>
      </c>
      <c r="L85" s="150"/>
    </row>
    <row r="86" spans="4:12" x14ac:dyDescent="0.35">
      <c r="H86" s="104" t="s">
        <v>57</v>
      </c>
      <c r="I86" s="104" t="s">
        <v>47</v>
      </c>
      <c r="J86" s="148">
        <f>'Opening Balance FEB 2026'!F40</f>
        <v>16440</v>
      </c>
      <c r="K86" s="149">
        <v>16440</v>
      </c>
      <c r="L86" s="150">
        <f>J86-K86</f>
        <v>0</v>
      </c>
    </row>
    <row r="87" spans="4:12" x14ac:dyDescent="0.35">
      <c r="H87" s="152" t="s">
        <v>45</v>
      </c>
      <c r="I87" s="152"/>
      <c r="J87" s="153">
        <v>16440</v>
      </c>
      <c r="K87" s="149">
        <f>SUM(K85:K86)</f>
        <v>16440</v>
      </c>
    </row>
    <row r="88" spans="4:12" x14ac:dyDescent="0.35">
      <c r="J88" s="148"/>
    </row>
    <row r="89" spans="4:12" x14ac:dyDescent="0.35">
      <c r="H89" s="163" t="s">
        <v>58</v>
      </c>
      <c r="I89" s="163"/>
      <c r="J89" s="164">
        <f>J87+J84+J80+J76+J72+J64+J56</f>
        <v>15922519</v>
      </c>
    </row>
    <row r="91" spans="4:12" x14ac:dyDescent="0.35">
      <c r="D91" s="165" t="s">
        <v>82</v>
      </c>
      <c r="E91" s="165"/>
      <c r="F91" s="165"/>
      <c r="G91" s="165"/>
      <c r="H91" s="165"/>
    </row>
    <row r="92" spans="4:12" x14ac:dyDescent="0.35">
      <c r="D92" s="158" t="s">
        <v>42</v>
      </c>
      <c r="E92" s="158" t="s">
        <v>43</v>
      </c>
      <c r="F92" s="158" t="s">
        <v>79</v>
      </c>
      <c r="G92" s="158" t="s">
        <v>80</v>
      </c>
      <c r="H92" s="158" t="s">
        <v>81</v>
      </c>
    </row>
    <row r="93" spans="4:12" x14ac:dyDescent="0.35">
      <c r="D93" s="139" t="s">
        <v>14</v>
      </c>
      <c r="E93" s="139" t="s">
        <v>15</v>
      </c>
      <c r="F93" s="166">
        <f>H5</f>
        <v>0</v>
      </c>
      <c r="G93" s="166">
        <f t="shared" ref="G93:G98" si="13">O5</f>
        <v>16495</v>
      </c>
      <c r="H93" s="166">
        <f t="shared" ref="H93:H98" si="14">I5</f>
        <v>0</v>
      </c>
    </row>
    <row r="94" spans="4:12" x14ac:dyDescent="0.35">
      <c r="D94" s="139" t="s">
        <v>14</v>
      </c>
      <c r="E94" s="139" t="s">
        <v>17</v>
      </c>
      <c r="F94" s="166">
        <f>H6</f>
        <v>564537</v>
      </c>
      <c r="G94" s="166">
        <f t="shared" si="13"/>
        <v>0</v>
      </c>
      <c r="H94" s="166">
        <f t="shared" si="14"/>
        <v>564537</v>
      </c>
    </row>
    <row r="95" spans="4:12" x14ac:dyDescent="0.35">
      <c r="D95" s="139" t="s">
        <v>14</v>
      </c>
      <c r="E95" s="139" t="s">
        <v>18</v>
      </c>
      <c r="F95" s="166">
        <f>H7</f>
        <v>141885</v>
      </c>
      <c r="G95" s="166">
        <f t="shared" si="13"/>
        <v>131027</v>
      </c>
      <c r="H95" s="166">
        <f t="shared" si="14"/>
        <v>95317</v>
      </c>
    </row>
    <row r="96" spans="4:12" x14ac:dyDescent="0.35">
      <c r="D96" s="139" t="s">
        <v>14</v>
      </c>
      <c r="E96" s="139" t="s">
        <v>19</v>
      </c>
      <c r="F96" s="166">
        <f>H8</f>
        <v>126981</v>
      </c>
      <c r="G96" s="166">
        <f t="shared" si="13"/>
        <v>53219</v>
      </c>
      <c r="H96" s="166">
        <f t="shared" si="14"/>
        <v>107042</v>
      </c>
    </row>
    <row r="97" spans="4:8" x14ac:dyDescent="0.35">
      <c r="D97" s="139" t="s">
        <v>14</v>
      </c>
      <c r="E97" s="139" t="s">
        <v>20</v>
      </c>
      <c r="F97" s="166">
        <f>H9</f>
        <v>152692</v>
      </c>
      <c r="G97" s="166">
        <f t="shared" si="13"/>
        <v>25125</v>
      </c>
      <c r="H97" s="166">
        <f t="shared" si="14"/>
        <v>119466</v>
      </c>
    </row>
    <row r="98" spans="4:8" x14ac:dyDescent="0.35">
      <c r="D98" s="139" t="s">
        <v>14</v>
      </c>
      <c r="E98" s="139" t="s">
        <v>21</v>
      </c>
      <c r="F98" s="166" t="e">
        <f>H10+#REF!</f>
        <v>#REF!</v>
      </c>
      <c r="G98" s="166">
        <f t="shared" si="13"/>
        <v>72675</v>
      </c>
      <c r="H98" s="166">
        <f t="shared" si="14"/>
        <v>0</v>
      </c>
    </row>
    <row r="99" spans="4:8" x14ac:dyDescent="0.35">
      <c r="D99" s="167" t="s">
        <v>45</v>
      </c>
      <c r="E99" s="167"/>
      <c r="F99" s="168" t="e">
        <f>SUM(F93:F98)</f>
        <v>#REF!</v>
      </c>
      <c r="G99" s="168">
        <f t="shared" ref="G99" si="15">SUM(G93:G98)</f>
        <v>298541</v>
      </c>
      <c r="H99" s="168">
        <f>SUM(H93:H98)</f>
        <v>886362</v>
      </c>
    </row>
    <row r="100" spans="4:8" x14ac:dyDescent="0.35">
      <c r="D100" s="158" t="s">
        <v>42</v>
      </c>
      <c r="E100" s="158" t="s">
        <v>43</v>
      </c>
      <c r="F100" s="169" t="s">
        <v>79</v>
      </c>
      <c r="G100" s="169" t="s">
        <v>80</v>
      </c>
      <c r="H100" s="169" t="s">
        <v>81</v>
      </c>
    </row>
    <row r="101" spans="4:8" x14ac:dyDescent="0.35">
      <c r="D101" s="139" t="s">
        <v>46</v>
      </c>
      <c r="E101" s="139" t="s">
        <v>48</v>
      </c>
      <c r="F101" s="166">
        <f>H12</f>
        <v>91542</v>
      </c>
      <c r="G101" s="166">
        <f>O12</f>
        <v>46568</v>
      </c>
      <c r="H101" s="166">
        <f>I12</f>
        <v>51923</v>
      </c>
    </row>
    <row r="102" spans="4:8" x14ac:dyDescent="0.35">
      <c r="D102" s="139" t="s">
        <v>46</v>
      </c>
      <c r="E102" s="139" t="s">
        <v>47</v>
      </c>
      <c r="F102" s="166">
        <f>H13</f>
        <v>310402</v>
      </c>
      <c r="G102" s="166">
        <f>O13</f>
        <v>14187</v>
      </c>
      <c r="H102" s="166">
        <f>I13</f>
        <v>251590</v>
      </c>
    </row>
    <row r="103" spans="4:8" x14ac:dyDescent="0.35">
      <c r="D103" s="139" t="s">
        <v>27</v>
      </c>
      <c r="E103" s="139" t="s">
        <v>47</v>
      </c>
      <c r="F103" s="166">
        <v>0</v>
      </c>
      <c r="G103" s="166">
        <v>0</v>
      </c>
      <c r="H103" s="166">
        <v>0</v>
      </c>
    </row>
    <row r="104" spans="4:8" x14ac:dyDescent="0.35">
      <c r="D104" s="167" t="s">
        <v>45</v>
      </c>
      <c r="E104" s="167"/>
      <c r="F104" s="168">
        <f>SUM(F101:F103)</f>
        <v>401944</v>
      </c>
      <c r="G104" s="168">
        <f>SUM(G101:G103)</f>
        <v>60755</v>
      </c>
      <c r="H104" s="168">
        <f>SUM(H101:H103)</f>
        <v>303513</v>
      </c>
    </row>
    <row r="105" spans="4:8" x14ac:dyDescent="0.35">
      <c r="D105" s="158" t="s">
        <v>42</v>
      </c>
      <c r="E105" s="158" t="s">
        <v>43</v>
      </c>
      <c r="F105" s="169" t="s">
        <v>79</v>
      </c>
      <c r="G105" s="169" t="s">
        <v>80</v>
      </c>
      <c r="H105" s="169" t="s">
        <v>81</v>
      </c>
    </row>
    <row r="106" spans="4:8" x14ac:dyDescent="0.35">
      <c r="D106" s="139" t="s">
        <v>49</v>
      </c>
      <c r="E106" s="139" t="s">
        <v>51</v>
      </c>
      <c r="F106" s="166" t="e">
        <f>#REF!</f>
        <v>#REF!</v>
      </c>
      <c r="G106" s="166" t="e">
        <f>#REF!</f>
        <v>#REF!</v>
      </c>
      <c r="H106" s="166" t="e">
        <f>#REF!</f>
        <v>#REF!</v>
      </c>
    </row>
    <row r="107" spans="4:8" x14ac:dyDescent="0.35">
      <c r="D107" s="139" t="s">
        <v>49</v>
      </c>
      <c r="E107" s="139" t="s">
        <v>18</v>
      </c>
      <c r="F107" s="166">
        <f>H28</f>
        <v>0</v>
      </c>
      <c r="G107" s="166">
        <f>O28</f>
        <v>0</v>
      </c>
      <c r="H107" s="166">
        <v>0</v>
      </c>
    </row>
    <row r="108" spans="4:8" x14ac:dyDescent="0.35">
      <c r="D108" s="139" t="s">
        <v>49</v>
      </c>
      <c r="E108" s="139" t="s">
        <v>50</v>
      </c>
      <c r="F108" s="166" t="e">
        <f>#REF!+#REF!</f>
        <v>#REF!</v>
      </c>
      <c r="G108" s="166" t="e">
        <f>#REF!</f>
        <v>#REF!</v>
      </c>
      <c r="H108" s="166" t="e">
        <f>#REF!+#REF!</f>
        <v>#REF!</v>
      </c>
    </row>
    <row r="109" spans="4:8" x14ac:dyDescent="0.35">
      <c r="D109" s="167" t="s">
        <v>45</v>
      </c>
      <c r="E109" s="167"/>
      <c r="F109" s="168" t="e">
        <f>SUM(F106:F108)</f>
        <v>#REF!</v>
      </c>
      <c r="G109" s="168" t="e">
        <f>SUM(G106:G108)</f>
        <v>#REF!</v>
      </c>
      <c r="H109" s="168" t="e">
        <f>SUM(H106:H108)</f>
        <v>#REF!</v>
      </c>
    </row>
    <row r="110" spans="4:8" x14ac:dyDescent="0.35">
      <c r="D110" s="158" t="s">
        <v>42</v>
      </c>
      <c r="E110" s="158" t="s">
        <v>43</v>
      </c>
      <c r="F110" s="169" t="s">
        <v>79</v>
      </c>
      <c r="G110" s="169" t="s">
        <v>80</v>
      </c>
      <c r="H110" s="169" t="s">
        <v>81</v>
      </c>
    </row>
    <row r="111" spans="4:8" x14ac:dyDescent="0.35">
      <c r="D111" s="139" t="s">
        <v>52</v>
      </c>
      <c r="E111" s="139" t="s">
        <v>53</v>
      </c>
      <c r="F111" s="166">
        <f>H20</f>
        <v>0</v>
      </c>
      <c r="G111" s="166">
        <f>O20</f>
        <v>0</v>
      </c>
      <c r="H111" s="166">
        <f>I20</f>
        <v>0</v>
      </c>
    </row>
    <row r="112" spans="4:8" x14ac:dyDescent="0.35">
      <c r="D112" s="167" t="s">
        <v>45</v>
      </c>
      <c r="E112" s="167"/>
      <c r="F112" s="168">
        <f>SUM(F111)</f>
        <v>0</v>
      </c>
      <c r="G112" s="168">
        <f t="shared" ref="G112" si="16">SUM(G111)</f>
        <v>0</v>
      </c>
      <c r="H112" s="168">
        <f>SUM(H111)</f>
        <v>0</v>
      </c>
    </row>
    <row r="113" spans="4:8" x14ac:dyDescent="0.35">
      <c r="D113" s="158" t="s">
        <v>42</v>
      </c>
      <c r="E113" s="158" t="s">
        <v>43</v>
      </c>
      <c r="F113" s="169" t="s">
        <v>79</v>
      </c>
      <c r="G113" s="169" t="s">
        <v>80</v>
      </c>
      <c r="H113" s="169" t="s">
        <v>81</v>
      </c>
    </row>
    <row r="114" spans="4:8" x14ac:dyDescent="0.35">
      <c r="D114" s="139" t="s">
        <v>54</v>
      </c>
      <c r="E114" s="139" t="s">
        <v>53</v>
      </c>
      <c r="F114" s="166">
        <f>H23</f>
        <v>0</v>
      </c>
      <c r="G114" s="166">
        <f>O23</f>
        <v>0</v>
      </c>
      <c r="H114" s="166">
        <f>I23</f>
        <v>0</v>
      </c>
    </row>
    <row r="115" spans="4:8" x14ac:dyDescent="0.35">
      <c r="D115" s="139" t="s">
        <v>54</v>
      </c>
      <c r="E115" s="139" t="s">
        <v>18</v>
      </c>
      <c r="F115" s="166">
        <f>H24</f>
        <v>0</v>
      </c>
      <c r="G115" s="166">
        <f>O24</f>
        <v>0</v>
      </c>
      <c r="H115" s="166">
        <f>I24</f>
        <v>0</v>
      </c>
    </row>
    <row r="116" spans="4:8" x14ac:dyDescent="0.35">
      <c r="D116" s="167" t="s">
        <v>45</v>
      </c>
      <c r="E116" s="167"/>
      <c r="F116" s="168">
        <f>SUM(F114:F115)</f>
        <v>0</v>
      </c>
      <c r="G116" s="168">
        <f t="shared" ref="G116" si="17">SUM(G114:G115)</f>
        <v>0</v>
      </c>
      <c r="H116" s="168">
        <f>SUM(H114:H115)</f>
        <v>0</v>
      </c>
    </row>
    <row r="117" spans="4:8" x14ac:dyDescent="0.35">
      <c r="D117" s="170"/>
      <c r="E117" s="170"/>
      <c r="F117" s="171" t="e">
        <f>F116+F112+F109+F104+F99</f>
        <v>#REF!</v>
      </c>
      <c r="G117" s="171" t="e">
        <f t="shared" ref="G117" si="18">G116+G112+G109+G104+G99</f>
        <v>#REF!</v>
      </c>
      <c r="H117" s="171" t="e">
        <f>H116+H112+H109+H104+H99</f>
        <v>#REF!</v>
      </c>
    </row>
  </sheetData>
  <mergeCells count="43">
    <mergeCell ref="D70:E70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58:E58"/>
    <mergeCell ref="K47:L47"/>
    <mergeCell ref="M47:O47"/>
    <mergeCell ref="H48:J48"/>
    <mergeCell ref="K48:K49"/>
    <mergeCell ref="C51:E51"/>
    <mergeCell ref="C52:E52"/>
    <mergeCell ref="D53:E53"/>
    <mergeCell ref="D54:E54"/>
    <mergeCell ref="D55:E55"/>
    <mergeCell ref="D56:E56"/>
    <mergeCell ref="D57:E57"/>
    <mergeCell ref="K44:L44"/>
    <mergeCell ref="M44:O44"/>
    <mergeCell ref="K45:L45"/>
    <mergeCell ref="M45:O45"/>
    <mergeCell ref="K46:L46"/>
    <mergeCell ref="M46:O46"/>
    <mergeCell ref="M43:O43"/>
    <mergeCell ref="C2:O2"/>
    <mergeCell ref="C3:O3"/>
    <mergeCell ref="H33:I33"/>
    <mergeCell ref="K34:L34"/>
    <mergeCell ref="M34:O34"/>
    <mergeCell ref="C35:D35"/>
    <mergeCell ref="K35:L35"/>
    <mergeCell ref="K36:L36"/>
    <mergeCell ref="K37:L37"/>
    <mergeCell ref="K38:L38"/>
    <mergeCell ref="K39:L39"/>
    <mergeCell ref="K43:L43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9"/>
  <sheetViews>
    <sheetView zoomScale="50" zoomScaleNormal="50" workbookViewId="0">
      <selection activeCell="E18" sqref="E18"/>
    </sheetView>
  </sheetViews>
  <sheetFormatPr defaultRowHeight="24" customHeight="1" x14ac:dyDescent="0.35"/>
  <cols>
    <col min="1" max="1" width="5.5703125" style="104" customWidth="1"/>
    <col min="2" max="2" width="0.140625" style="104" hidden="1" customWidth="1"/>
    <col min="3" max="3" width="20.85546875" style="104" customWidth="1"/>
    <col min="4" max="4" width="26.42578125" style="104" customWidth="1"/>
    <col min="5" max="5" width="18.140625" style="104" customWidth="1"/>
    <col min="6" max="6" width="32.28515625" style="104" bestFit="1" customWidth="1"/>
    <col min="7" max="7" width="21" style="104" customWidth="1"/>
    <col min="8" max="8" width="22.85546875" style="104" customWidth="1"/>
    <col min="9" max="9" width="23.5703125" style="104" customWidth="1"/>
    <col min="10" max="10" width="21.42578125" style="104" customWidth="1"/>
    <col min="11" max="11" width="21.28515625" style="104" customWidth="1"/>
    <col min="12" max="12" width="22.5703125" style="104" customWidth="1"/>
    <col min="13" max="13" width="26.42578125" style="104" customWidth="1"/>
    <col min="14" max="14" width="17.5703125" style="104" customWidth="1"/>
    <col min="15" max="15" width="22" style="104" customWidth="1"/>
    <col min="16" max="16" width="7.5703125" style="104" customWidth="1"/>
    <col min="17" max="17" width="14.28515625" style="104" bestFit="1" customWidth="1"/>
    <col min="18" max="18" width="11.42578125" style="104" customWidth="1"/>
    <col min="19" max="16384" width="9.140625" style="104"/>
  </cols>
  <sheetData>
    <row r="2" spans="1:16" ht="23.25" x14ac:dyDescent="0.35">
      <c r="C2" s="246">
        <v>46097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8"/>
    </row>
    <row r="3" spans="1:16" ht="23.25" x14ac:dyDescent="0.35">
      <c r="C3" s="249" t="s">
        <v>0</v>
      </c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6" ht="93" x14ac:dyDescent="0.35">
      <c r="A4" s="180"/>
      <c r="C4" s="106" t="s">
        <v>1</v>
      </c>
      <c r="D4" s="106" t="s">
        <v>2</v>
      </c>
      <c r="E4" s="106" t="s">
        <v>3</v>
      </c>
      <c r="F4" s="106" t="s">
        <v>4</v>
      </c>
      <c r="G4" s="106" t="s">
        <v>5</v>
      </c>
      <c r="H4" s="106" t="s">
        <v>6</v>
      </c>
      <c r="I4" s="106" t="s">
        <v>7</v>
      </c>
      <c r="J4" s="106" t="s">
        <v>8</v>
      </c>
      <c r="K4" s="107" t="s">
        <v>9</v>
      </c>
      <c r="L4" s="107" t="s">
        <v>10</v>
      </c>
      <c r="M4" s="108" t="s">
        <v>11</v>
      </c>
      <c r="N4" s="109" t="s">
        <v>12</v>
      </c>
      <c r="O4" s="106" t="s">
        <v>13</v>
      </c>
    </row>
    <row r="5" spans="1:16" ht="23.25" x14ac:dyDescent="0.35">
      <c r="A5" s="110"/>
      <c r="C5" s="111" t="s">
        <v>14</v>
      </c>
      <c r="D5" s="112" t="s">
        <v>15</v>
      </c>
      <c r="E5" s="113" t="s">
        <v>97</v>
      </c>
      <c r="F5" s="114">
        <v>130106</v>
      </c>
      <c r="G5" s="114">
        <v>5127</v>
      </c>
      <c r="H5" s="115">
        <f>F5-G5</f>
        <v>124979</v>
      </c>
      <c r="I5" s="115">
        <f>H5-J5</f>
        <v>40050</v>
      </c>
      <c r="J5" s="116">
        <v>84929</v>
      </c>
      <c r="K5" s="117">
        <v>0</v>
      </c>
      <c r="L5" s="116">
        <v>0</v>
      </c>
      <c r="M5" s="114">
        <f>'15-03-2026'!J50</f>
        <v>328010</v>
      </c>
      <c r="N5" s="117">
        <v>0</v>
      </c>
      <c r="O5" s="118">
        <v>46893</v>
      </c>
      <c r="P5" s="119"/>
    </row>
    <row r="6" spans="1:16" ht="23.25" x14ac:dyDescent="0.35">
      <c r="A6" s="110"/>
      <c r="C6" s="111" t="s">
        <v>14</v>
      </c>
      <c r="D6" s="112" t="s">
        <v>17</v>
      </c>
      <c r="E6" s="113" t="s">
        <v>86</v>
      </c>
      <c r="F6" s="114">
        <v>0</v>
      </c>
      <c r="G6" s="114">
        <v>0</v>
      </c>
      <c r="H6" s="115">
        <f t="shared" ref="H6:H10" si="0">F6-G6</f>
        <v>0</v>
      </c>
      <c r="I6" s="115">
        <f t="shared" ref="I6:I10" si="1">H6-J6</f>
        <v>0</v>
      </c>
      <c r="J6" s="116">
        <v>0</v>
      </c>
      <c r="K6" s="117">
        <v>0</v>
      </c>
      <c r="L6" s="116">
        <v>0</v>
      </c>
      <c r="M6" s="114">
        <f>'15-03-2026'!J51</f>
        <v>3724204</v>
      </c>
      <c r="N6" s="117">
        <v>0</v>
      </c>
      <c r="O6" s="118">
        <v>50000</v>
      </c>
    </row>
    <row r="7" spans="1:16" ht="23.25" x14ac:dyDescent="0.35">
      <c r="A7" s="110"/>
      <c r="C7" s="111" t="s">
        <v>14</v>
      </c>
      <c r="D7" s="112" t="s">
        <v>18</v>
      </c>
      <c r="E7" s="113" t="s">
        <v>98</v>
      </c>
      <c r="F7" s="114">
        <v>137207</v>
      </c>
      <c r="G7" s="114">
        <v>1921</v>
      </c>
      <c r="H7" s="115">
        <f t="shared" si="0"/>
        <v>135286</v>
      </c>
      <c r="I7" s="115">
        <f t="shared" si="1"/>
        <v>120710</v>
      </c>
      <c r="J7" s="116">
        <v>14576</v>
      </c>
      <c r="K7" s="117">
        <v>0</v>
      </c>
      <c r="L7" s="116">
        <v>0</v>
      </c>
      <c r="M7" s="114">
        <f>'15-03-2026'!J52</f>
        <v>1810941</v>
      </c>
      <c r="N7" s="117">
        <v>0</v>
      </c>
      <c r="O7" s="118">
        <v>45660</v>
      </c>
    </row>
    <row r="8" spans="1:16" ht="23.25" x14ac:dyDescent="0.35">
      <c r="A8" s="110"/>
      <c r="C8" s="111" t="s">
        <v>14</v>
      </c>
      <c r="D8" s="112" t="s">
        <v>19</v>
      </c>
      <c r="E8" s="113" t="s">
        <v>86</v>
      </c>
      <c r="F8" s="114">
        <v>136922</v>
      </c>
      <c r="G8" s="114">
        <v>0</v>
      </c>
      <c r="H8" s="115">
        <f t="shared" si="0"/>
        <v>136922</v>
      </c>
      <c r="I8" s="115">
        <f t="shared" si="1"/>
        <v>119300</v>
      </c>
      <c r="J8" s="116">
        <v>17622</v>
      </c>
      <c r="K8" s="117">
        <v>0</v>
      </c>
      <c r="L8" s="116">
        <v>0</v>
      </c>
      <c r="M8" s="114">
        <f>'15-03-2026'!J53</f>
        <v>1307227</v>
      </c>
      <c r="N8" s="117">
        <v>0</v>
      </c>
      <c r="O8" s="118">
        <v>59086</v>
      </c>
    </row>
    <row r="9" spans="1:16" ht="23.25" x14ac:dyDescent="0.35">
      <c r="A9" s="110"/>
      <c r="C9" s="111" t="s">
        <v>14</v>
      </c>
      <c r="D9" s="112" t="s">
        <v>20</v>
      </c>
      <c r="E9" s="113" t="s">
        <v>97</v>
      </c>
      <c r="F9" s="114">
        <v>58487</v>
      </c>
      <c r="G9" s="114">
        <v>0</v>
      </c>
      <c r="H9" s="115">
        <f t="shared" si="0"/>
        <v>58487</v>
      </c>
      <c r="I9" s="115">
        <f t="shared" si="1"/>
        <v>38378</v>
      </c>
      <c r="J9" s="116">
        <v>20109</v>
      </c>
      <c r="K9" s="117">
        <v>0</v>
      </c>
      <c r="L9" s="116">
        <v>0</v>
      </c>
      <c r="M9" s="114">
        <f>'15-03-2026'!J54</f>
        <v>1398761</v>
      </c>
      <c r="N9" s="117">
        <v>0</v>
      </c>
      <c r="O9" s="118">
        <v>54475</v>
      </c>
    </row>
    <row r="10" spans="1:16" ht="23.25" x14ac:dyDescent="0.35">
      <c r="A10" s="110"/>
      <c r="C10" s="111" t="s">
        <v>14</v>
      </c>
      <c r="D10" s="112" t="s">
        <v>21</v>
      </c>
      <c r="E10" s="113" t="s">
        <v>85</v>
      </c>
      <c r="F10" s="114">
        <v>128838</v>
      </c>
      <c r="G10" s="114">
        <v>0</v>
      </c>
      <c r="H10" s="115">
        <f t="shared" si="0"/>
        <v>128838</v>
      </c>
      <c r="I10" s="115">
        <f t="shared" si="1"/>
        <v>115205</v>
      </c>
      <c r="J10" s="116">
        <v>13633</v>
      </c>
      <c r="K10" s="117">
        <v>0</v>
      </c>
      <c r="L10" s="116">
        <v>3950</v>
      </c>
      <c r="M10" s="114">
        <f>'15-03-2026'!J55</f>
        <v>762687</v>
      </c>
      <c r="N10" s="117">
        <v>0</v>
      </c>
      <c r="O10" s="118">
        <v>69243</v>
      </c>
    </row>
    <row r="11" spans="1:16" ht="23.25" x14ac:dyDescent="0.35">
      <c r="A11" s="120"/>
      <c r="C11" s="106" t="s">
        <v>22</v>
      </c>
      <c r="D11" s="106"/>
      <c r="E11" s="106"/>
      <c r="F11" s="121">
        <f t="shared" ref="F11:O11" si="2">SUM(F5:F10)</f>
        <v>591560</v>
      </c>
      <c r="G11" s="121">
        <f t="shared" si="2"/>
        <v>7048</v>
      </c>
      <c r="H11" s="121">
        <f t="shared" si="2"/>
        <v>584512</v>
      </c>
      <c r="I11" s="121">
        <f t="shared" si="2"/>
        <v>433643</v>
      </c>
      <c r="J11" s="121">
        <f t="shared" si="2"/>
        <v>150869</v>
      </c>
      <c r="K11" s="121">
        <f t="shared" si="2"/>
        <v>0</v>
      </c>
      <c r="L11" s="121">
        <f t="shared" si="2"/>
        <v>3950</v>
      </c>
      <c r="M11" s="173">
        <f>SUM(M5:M10)</f>
        <v>9331830</v>
      </c>
      <c r="N11" s="121">
        <f t="shared" si="2"/>
        <v>0</v>
      </c>
      <c r="O11" s="121">
        <f t="shared" si="2"/>
        <v>325357</v>
      </c>
    </row>
    <row r="12" spans="1:16" ht="23.25" x14ac:dyDescent="0.35">
      <c r="C12" s="111" t="s">
        <v>23</v>
      </c>
      <c r="D12" s="112" t="s">
        <v>24</v>
      </c>
      <c r="E12" s="113" t="s">
        <v>85</v>
      </c>
      <c r="F12" s="114">
        <v>126761</v>
      </c>
      <c r="G12" s="114">
        <v>657</v>
      </c>
      <c r="H12" s="115">
        <f t="shared" ref="H12:H32" si="3">F12-G12</f>
        <v>126104</v>
      </c>
      <c r="I12" s="115">
        <f t="shared" ref="I12:I32" si="4">H12-J12</f>
        <v>84819</v>
      </c>
      <c r="J12" s="116">
        <v>41285</v>
      </c>
      <c r="K12" s="117">
        <v>0</v>
      </c>
      <c r="L12" s="116">
        <v>0</v>
      </c>
      <c r="M12" s="114">
        <f>'15-03-2026'!J59</f>
        <v>447699</v>
      </c>
      <c r="N12" s="117">
        <v>0</v>
      </c>
      <c r="O12" s="116">
        <v>68807</v>
      </c>
    </row>
    <row r="13" spans="1:16" ht="23.25" x14ac:dyDescent="0.35">
      <c r="C13" s="111" t="s">
        <v>23</v>
      </c>
      <c r="D13" s="112" t="s">
        <v>24</v>
      </c>
      <c r="E13" s="113" t="s">
        <v>48</v>
      </c>
      <c r="F13" s="114">
        <v>4963</v>
      </c>
      <c r="G13" s="114">
        <v>0</v>
      </c>
      <c r="H13" s="115">
        <f t="shared" si="3"/>
        <v>4963</v>
      </c>
      <c r="I13" s="115">
        <f t="shared" si="4"/>
        <v>4963</v>
      </c>
      <c r="J13" s="116">
        <v>0</v>
      </c>
      <c r="K13" s="117">
        <v>0</v>
      </c>
      <c r="L13" s="116">
        <v>0</v>
      </c>
      <c r="M13" s="114">
        <v>0</v>
      </c>
      <c r="N13" s="117">
        <v>0</v>
      </c>
      <c r="O13" s="116">
        <v>0</v>
      </c>
    </row>
    <row r="14" spans="1:16" ht="23.25" x14ac:dyDescent="0.35">
      <c r="C14" s="111" t="s">
        <v>23</v>
      </c>
      <c r="D14" s="112" t="s">
        <v>25</v>
      </c>
      <c r="E14" s="113" t="s">
        <v>97</v>
      </c>
      <c r="F14" s="114">
        <v>50778</v>
      </c>
      <c r="G14" s="114">
        <v>0</v>
      </c>
      <c r="H14" s="115">
        <f t="shared" si="3"/>
        <v>50778</v>
      </c>
      <c r="I14" s="115">
        <f t="shared" si="4"/>
        <v>5522</v>
      </c>
      <c r="J14" s="116">
        <v>45256</v>
      </c>
      <c r="K14" s="117">
        <v>0</v>
      </c>
      <c r="L14" s="116">
        <v>0</v>
      </c>
      <c r="M14" s="114">
        <f>'15-03-2026'!J60</f>
        <v>1876672</v>
      </c>
      <c r="N14" s="117">
        <v>0</v>
      </c>
      <c r="O14" s="116">
        <v>112430</v>
      </c>
    </row>
    <row r="15" spans="1:16" ht="23.25" x14ac:dyDescent="0.35">
      <c r="C15" s="111" t="s">
        <v>23</v>
      </c>
      <c r="D15" s="112" t="s">
        <v>25</v>
      </c>
      <c r="E15" s="113" t="s">
        <v>86</v>
      </c>
      <c r="F15" s="114">
        <v>13470</v>
      </c>
      <c r="G15" s="114">
        <v>0</v>
      </c>
      <c r="H15" s="115">
        <f t="shared" si="3"/>
        <v>13470</v>
      </c>
      <c r="I15" s="115">
        <f t="shared" si="4"/>
        <v>13470</v>
      </c>
      <c r="J15" s="116">
        <v>0</v>
      </c>
      <c r="K15" s="117">
        <v>0</v>
      </c>
      <c r="L15" s="116">
        <v>0</v>
      </c>
      <c r="M15" s="114">
        <v>0</v>
      </c>
      <c r="N15" s="117">
        <v>0</v>
      </c>
      <c r="O15" s="116">
        <v>0</v>
      </c>
    </row>
    <row r="16" spans="1:16" ht="23.25" x14ac:dyDescent="0.35">
      <c r="C16" s="111" t="s">
        <v>23</v>
      </c>
      <c r="D16" s="112" t="s">
        <v>26</v>
      </c>
      <c r="E16" s="113" t="s">
        <v>85</v>
      </c>
      <c r="F16" s="114">
        <v>0</v>
      </c>
      <c r="G16" s="114">
        <v>0</v>
      </c>
      <c r="H16" s="115">
        <f t="shared" si="3"/>
        <v>0</v>
      </c>
      <c r="I16" s="115">
        <f t="shared" si="4"/>
        <v>0</v>
      </c>
      <c r="J16" s="116">
        <v>0</v>
      </c>
      <c r="K16" s="117">
        <v>0</v>
      </c>
      <c r="L16" s="116">
        <v>0</v>
      </c>
      <c r="M16" s="114">
        <f>'15-03-2026'!J61</f>
        <v>457465</v>
      </c>
      <c r="N16" s="117">
        <v>0</v>
      </c>
      <c r="O16" s="116">
        <v>25692</v>
      </c>
    </row>
    <row r="17" spans="3:15" ht="23.25" x14ac:dyDescent="0.35">
      <c r="C17" s="111" t="s">
        <v>23</v>
      </c>
      <c r="D17" s="112" t="s">
        <v>20</v>
      </c>
      <c r="E17" s="113" t="s">
        <v>97</v>
      </c>
      <c r="F17" s="114">
        <v>0</v>
      </c>
      <c r="G17" s="114">
        <v>0</v>
      </c>
      <c r="H17" s="115">
        <f t="shared" si="3"/>
        <v>0</v>
      </c>
      <c r="I17" s="115">
        <f t="shared" si="4"/>
        <v>0</v>
      </c>
      <c r="J17" s="116">
        <v>0</v>
      </c>
      <c r="K17" s="117">
        <v>0</v>
      </c>
      <c r="L17" s="116">
        <v>0</v>
      </c>
      <c r="M17" s="114">
        <f>'15-03-2026'!J62</f>
        <v>8160</v>
      </c>
      <c r="N17" s="117">
        <v>0</v>
      </c>
      <c r="O17" s="116">
        <v>0</v>
      </c>
    </row>
    <row r="18" spans="3:15" ht="23.25" x14ac:dyDescent="0.35">
      <c r="C18" s="111" t="s">
        <v>23</v>
      </c>
      <c r="D18" s="112" t="s">
        <v>18</v>
      </c>
      <c r="E18" s="113" t="s">
        <v>97</v>
      </c>
      <c r="F18" s="114">
        <v>0</v>
      </c>
      <c r="G18" s="114">
        <v>0</v>
      </c>
      <c r="H18" s="115">
        <f t="shared" si="3"/>
        <v>0</v>
      </c>
      <c r="I18" s="115">
        <f t="shared" si="4"/>
        <v>0</v>
      </c>
      <c r="J18" s="116">
        <v>0</v>
      </c>
      <c r="K18" s="117">
        <v>0</v>
      </c>
      <c r="L18" s="116">
        <v>0</v>
      </c>
      <c r="M18" s="114">
        <v>0</v>
      </c>
      <c r="N18" s="117">
        <v>0</v>
      </c>
      <c r="O18" s="116">
        <v>0</v>
      </c>
    </row>
    <row r="19" spans="3:15" ht="23.25" x14ac:dyDescent="0.35">
      <c r="C19" s="111" t="s">
        <v>23</v>
      </c>
      <c r="D19" s="106"/>
      <c r="E19" s="106"/>
      <c r="F19" s="121">
        <f>SUM(F12:F18)</f>
        <v>195972</v>
      </c>
      <c r="G19" s="121">
        <f>SUM(G12:G18)</f>
        <v>657</v>
      </c>
      <c r="H19" s="121">
        <f>SUM(H12:H17)</f>
        <v>195315</v>
      </c>
      <c r="I19" s="121">
        <f>SUM(I12:I17)</f>
        <v>108774</v>
      </c>
      <c r="J19" s="121">
        <f>SUM(J12:J18)</f>
        <v>86541</v>
      </c>
      <c r="K19" s="121">
        <f>SUM(K12:K17)</f>
        <v>0</v>
      </c>
      <c r="L19" s="121">
        <f>SUM(L12:L17)</f>
        <v>0</v>
      </c>
      <c r="M19" s="121">
        <f>SUM(M12:M18)</f>
        <v>2789996</v>
      </c>
      <c r="N19" s="121">
        <f>SUM(N12:N17)</f>
        <v>0</v>
      </c>
      <c r="O19" s="121">
        <f>SUM(O12:O18)</f>
        <v>206929</v>
      </c>
    </row>
    <row r="20" spans="3:15" ht="23.25" x14ac:dyDescent="0.35">
      <c r="C20" s="111" t="s">
        <v>27</v>
      </c>
      <c r="D20" s="112" t="s">
        <v>25</v>
      </c>
      <c r="E20" s="113" t="s">
        <v>16</v>
      </c>
      <c r="F20" s="114">
        <v>0</v>
      </c>
      <c r="G20" s="114">
        <v>0</v>
      </c>
      <c r="H20" s="115">
        <f t="shared" si="3"/>
        <v>0</v>
      </c>
      <c r="I20" s="115">
        <f t="shared" si="4"/>
        <v>0</v>
      </c>
      <c r="J20" s="116">
        <v>0</v>
      </c>
      <c r="K20" s="117">
        <v>0</v>
      </c>
      <c r="L20" s="116">
        <v>0</v>
      </c>
      <c r="M20" s="114">
        <f>'15-03-2026'!J63</f>
        <v>51257</v>
      </c>
      <c r="N20" s="117">
        <v>0</v>
      </c>
      <c r="O20" s="116">
        <v>0</v>
      </c>
    </row>
    <row r="21" spans="3:15" ht="23.25" x14ac:dyDescent="0.35">
      <c r="C21" s="106"/>
      <c r="D21" s="106"/>
      <c r="E21" s="106"/>
      <c r="F21" s="121">
        <f>SUM(F20)</f>
        <v>0</v>
      </c>
      <c r="G21" s="121">
        <f t="shared" ref="G21:O21" si="5">SUM(G20)</f>
        <v>0</v>
      </c>
      <c r="H21" s="121">
        <f t="shared" si="5"/>
        <v>0</v>
      </c>
      <c r="I21" s="121">
        <f t="shared" si="5"/>
        <v>0</v>
      </c>
      <c r="J21" s="121">
        <f t="shared" si="5"/>
        <v>0</v>
      </c>
      <c r="K21" s="121">
        <f t="shared" si="5"/>
        <v>0</v>
      </c>
      <c r="L21" s="121">
        <f t="shared" si="5"/>
        <v>0</v>
      </c>
      <c r="M21" s="121">
        <f>SUM(M20)</f>
        <v>51257</v>
      </c>
      <c r="N21" s="121">
        <f t="shared" si="5"/>
        <v>0</v>
      </c>
      <c r="O21" s="121">
        <f t="shared" si="5"/>
        <v>0</v>
      </c>
    </row>
    <row r="22" spans="3:15" ht="23.25" x14ac:dyDescent="0.35">
      <c r="C22" s="111" t="s">
        <v>28</v>
      </c>
      <c r="D22" s="112" t="s">
        <v>29</v>
      </c>
      <c r="E22" s="113" t="s">
        <v>16</v>
      </c>
      <c r="F22" s="114">
        <v>0</v>
      </c>
      <c r="G22" s="114">
        <v>0</v>
      </c>
      <c r="H22" s="115">
        <f t="shared" si="3"/>
        <v>0</v>
      </c>
      <c r="I22" s="115">
        <f t="shared" si="4"/>
        <v>0</v>
      </c>
      <c r="J22" s="116">
        <v>0</v>
      </c>
      <c r="K22" s="117">
        <v>0</v>
      </c>
      <c r="L22" s="116">
        <v>0</v>
      </c>
      <c r="M22" s="114">
        <f>'15-03-2026'!J74</f>
        <v>33969</v>
      </c>
      <c r="N22" s="117">
        <v>0</v>
      </c>
      <c r="O22" s="116">
        <v>0</v>
      </c>
    </row>
    <row r="23" spans="3:15" ht="23.25" x14ac:dyDescent="0.35">
      <c r="C23" s="111" t="s">
        <v>28</v>
      </c>
      <c r="D23" s="112" t="s">
        <v>25</v>
      </c>
      <c r="E23" s="113" t="s">
        <v>16</v>
      </c>
      <c r="F23" s="114">
        <v>0</v>
      </c>
      <c r="G23" s="114">
        <v>0</v>
      </c>
      <c r="H23" s="115">
        <f t="shared" si="3"/>
        <v>0</v>
      </c>
      <c r="I23" s="115">
        <f t="shared" si="4"/>
        <v>0</v>
      </c>
      <c r="J23" s="116">
        <v>0</v>
      </c>
      <c r="K23" s="117">
        <v>0</v>
      </c>
      <c r="L23" s="116">
        <v>0</v>
      </c>
      <c r="M23" s="114">
        <f>'15-03-2026'!J75</f>
        <v>151366</v>
      </c>
      <c r="N23" s="117">
        <v>0</v>
      </c>
      <c r="O23" s="116">
        <v>0</v>
      </c>
    </row>
    <row r="24" spans="3:15" ht="23.25" x14ac:dyDescent="0.35">
      <c r="C24" s="106" t="s">
        <v>22</v>
      </c>
      <c r="D24" s="106"/>
      <c r="E24" s="106"/>
      <c r="F24" s="121">
        <f t="shared" ref="F24:L24" si="6">SUM(F22:F23)</f>
        <v>0</v>
      </c>
      <c r="G24" s="121">
        <f t="shared" si="6"/>
        <v>0</v>
      </c>
      <c r="H24" s="121">
        <f t="shared" si="6"/>
        <v>0</v>
      </c>
      <c r="I24" s="121">
        <f t="shared" si="6"/>
        <v>0</v>
      </c>
      <c r="J24" s="121">
        <f t="shared" si="6"/>
        <v>0</v>
      </c>
      <c r="K24" s="121">
        <f>SUM(K22:K23)</f>
        <v>0</v>
      </c>
      <c r="L24" s="121">
        <f t="shared" si="6"/>
        <v>0</v>
      </c>
      <c r="M24" s="121">
        <f>SUM(M22:M23)</f>
        <v>185335</v>
      </c>
      <c r="N24" s="121">
        <f t="shared" ref="N24:O24" si="7">SUM(N22:N23)</f>
        <v>0</v>
      </c>
      <c r="O24" s="121">
        <f t="shared" si="7"/>
        <v>0</v>
      </c>
    </row>
    <row r="25" spans="3:15" ht="23.25" x14ac:dyDescent="0.35">
      <c r="C25" s="111" t="s">
        <v>30</v>
      </c>
      <c r="D25" s="112" t="s">
        <v>29</v>
      </c>
      <c r="E25" s="113" t="s">
        <v>16</v>
      </c>
      <c r="F25" s="122">
        <v>0</v>
      </c>
      <c r="G25" s="122">
        <v>0</v>
      </c>
      <c r="H25" s="115">
        <f t="shared" si="3"/>
        <v>0</v>
      </c>
      <c r="I25" s="115">
        <f t="shared" si="4"/>
        <v>0</v>
      </c>
      <c r="J25" s="123">
        <v>0</v>
      </c>
      <c r="K25" s="124">
        <v>0</v>
      </c>
      <c r="L25" s="123">
        <v>0</v>
      </c>
      <c r="M25" s="122">
        <f>'15-03-2026'!J78</f>
        <v>89658</v>
      </c>
      <c r="N25" s="124">
        <v>0</v>
      </c>
      <c r="O25" s="123">
        <v>0</v>
      </c>
    </row>
    <row r="26" spans="3:15" ht="23.25" x14ac:dyDescent="0.35">
      <c r="C26" s="111" t="s">
        <v>30</v>
      </c>
      <c r="D26" s="112" t="s">
        <v>31</v>
      </c>
      <c r="E26" s="113" t="s">
        <v>16</v>
      </c>
      <c r="F26" s="122">
        <v>0</v>
      </c>
      <c r="G26" s="122">
        <v>0</v>
      </c>
      <c r="H26" s="115">
        <f t="shared" si="3"/>
        <v>0</v>
      </c>
      <c r="I26" s="115">
        <f t="shared" si="4"/>
        <v>0</v>
      </c>
      <c r="J26" s="123">
        <v>0</v>
      </c>
      <c r="K26" s="124">
        <v>0</v>
      </c>
      <c r="L26" s="123">
        <v>0</v>
      </c>
      <c r="M26" s="122">
        <f>'15-03-2026'!J79</f>
        <v>17000</v>
      </c>
      <c r="N26" s="124">
        <v>0</v>
      </c>
      <c r="O26" s="123">
        <v>0</v>
      </c>
    </row>
    <row r="27" spans="3:15" ht="23.25" x14ac:dyDescent="0.35">
      <c r="C27" s="106" t="s">
        <v>22</v>
      </c>
      <c r="D27" s="106"/>
      <c r="E27" s="106"/>
      <c r="F27" s="121">
        <f>SUM(F25:F26)</f>
        <v>0</v>
      </c>
      <c r="G27" s="121">
        <f t="shared" ref="G27:O27" si="8">SUM(G25:G26)</f>
        <v>0</v>
      </c>
      <c r="H27" s="121">
        <f t="shared" si="8"/>
        <v>0</v>
      </c>
      <c r="I27" s="121">
        <f t="shared" si="8"/>
        <v>0</v>
      </c>
      <c r="J27" s="121">
        <f t="shared" si="8"/>
        <v>0</v>
      </c>
      <c r="K27" s="121">
        <f t="shared" si="8"/>
        <v>0</v>
      </c>
      <c r="L27" s="121">
        <f t="shared" si="8"/>
        <v>0</v>
      </c>
      <c r="M27" s="121">
        <f t="shared" si="8"/>
        <v>106658</v>
      </c>
      <c r="N27" s="121">
        <f t="shared" si="8"/>
        <v>0</v>
      </c>
      <c r="O27" s="121">
        <f t="shared" si="8"/>
        <v>0</v>
      </c>
    </row>
    <row r="28" spans="3:15" ht="23.25" x14ac:dyDescent="0.35">
      <c r="C28" s="111" t="s">
        <v>32</v>
      </c>
      <c r="D28" s="112" t="s">
        <v>33</v>
      </c>
      <c r="E28" s="113" t="s">
        <v>97</v>
      </c>
      <c r="F28" s="125">
        <v>65742</v>
      </c>
      <c r="G28" s="114">
        <v>0</v>
      </c>
      <c r="H28" s="115">
        <f t="shared" si="3"/>
        <v>65742</v>
      </c>
      <c r="I28" s="115">
        <f t="shared" si="4"/>
        <v>58915</v>
      </c>
      <c r="J28" s="116">
        <v>6827</v>
      </c>
      <c r="K28" s="117">
        <v>0</v>
      </c>
      <c r="L28" s="116">
        <v>0</v>
      </c>
      <c r="M28" s="114">
        <f>'15-03-2026'!J66</f>
        <v>1641579</v>
      </c>
      <c r="N28" s="117">
        <v>0</v>
      </c>
      <c r="O28" s="116">
        <v>55063</v>
      </c>
    </row>
    <row r="29" spans="3:15" ht="23.25" x14ac:dyDescent="0.35">
      <c r="C29" s="111" t="s">
        <v>32</v>
      </c>
      <c r="D29" s="112" t="s">
        <v>31</v>
      </c>
      <c r="E29" s="113" t="s">
        <v>16</v>
      </c>
      <c r="F29" s="125">
        <v>0</v>
      </c>
      <c r="G29" s="114">
        <v>0</v>
      </c>
      <c r="H29" s="115">
        <f t="shared" si="3"/>
        <v>0</v>
      </c>
      <c r="I29" s="115">
        <f t="shared" si="4"/>
        <v>0</v>
      </c>
      <c r="J29" s="116">
        <v>0</v>
      </c>
      <c r="K29" s="117">
        <v>0</v>
      </c>
      <c r="L29" s="116">
        <v>0</v>
      </c>
      <c r="M29" s="114">
        <f>'15-03-2026'!J67</f>
        <v>174473</v>
      </c>
      <c r="N29" s="117">
        <v>0</v>
      </c>
      <c r="O29" s="116">
        <v>0</v>
      </c>
    </row>
    <row r="30" spans="3:15" ht="23.25" x14ac:dyDescent="0.35">
      <c r="C30" s="111" t="s">
        <v>32</v>
      </c>
      <c r="D30" s="112" t="s">
        <v>26</v>
      </c>
      <c r="E30" s="113" t="s">
        <v>16</v>
      </c>
      <c r="F30" s="125">
        <v>0</v>
      </c>
      <c r="G30" s="114">
        <v>0</v>
      </c>
      <c r="H30" s="115">
        <f t="shared" si="3"/>
        <v>0</v>
      </c>
      <c r="I30" s="115">
        <f t="shared" si="4"/>
        <v>0</v>
      </c>
      <c r="J30" s="116">
        <v>0</v>
      </c>
      <c r="K30" s="117">
        <v>0</v>
      </c>
      <c r="L30" s="116">
        <v>0</v>
      </c>
      <c r="M30" s="114">
        <f>'15-03-2026'!J68</f>
        <v>35126</v>
      </c>
      <c r="N30" s="117">
        <v>0</v>
      </c>
      <c r="O30" s="116">
        <v>0</v>
      </c>
    </row>
    <row r="31" spans="3:15" ht="23.25" x14ac:dyDescent="0.35">
      <c r="C31" s="111" t="s">
        <v>32</v>
      </c>
      <c r="D31" s="112" t="s">
        <v>34</v>
      </c>
      <c r="E31" s="113" t="s">
        <v>84</v>
      </c>
      <c r="F31" s="125">
        <v>67109</v>
      </c>
      <c r="G31" s="114">
        <v>4793</v>
      </c>
      <c r="H31" s="115">
        <f t="shared" si="3"/>
        <v>62316</v>
      </c>
      <c r="I31" s="115">
        <f t="shared" si="4"/>
        <v>62316</v>
      </c>
      <c r="J31" s="116">
        <v>0</v>
      </c>
      <c r="K31" s="117">
        <v>0</v>
      </c>
      <c r="L31" s="116">
        <v>0</v>
      </c>
      <c r="M31" s="114">
        <v>0</v>
      </c>
      <c r="N31" s="117">
        <v>0</v>
      </c>
      <c r="O31" s="116">
        <v>0</v>
      </c>
    </row>
    <row r="32" spans="3:15" ht="23.25" x14ac:dyDescent="0.35">
      <c r="C32" s="111" t="s">
        <v>32</v>
      </c>
      <c r="D32" s="112" t="s">
        <v>34</v>
      </c>
      <c r="E32" s="113" t="s">
        <v>84</v>
      </c>
      <c r="F32" s="125">
        <v>82083</v>
      </c>
      <c r="G32" s="114">
        <v>2274</v>
      </c>
      <c r="H32" s="115">
        <f t="shared" si="3"/>
        <v>79809</v>
      </c>
      <c r="I32" s="115">
        <f t="shared" si="4"/>
        <v>66629</v>
      </c>
      <c r="J32" s="116">
        <v>13180</v>
      </c>
      <c r="K32" s="117">
        <v>0</v>
      </c>
      <c r="L32" s="116">
        <v>0</v>
      </c>
      <c r="M32" s="114">
        <f>'15-03-2026'!J69</f>
        <v>1390655</v>
      </c>
      <c r="N32" s="117">
        <v>0</v>
      </c>
      <c r="O32" s="116">
        <v>38179</v>
      </c>
    </row>
    <row r="33" spans="3:15" ht="23.25" x14ac:dyDescent="0.35">
      <c r="C33" s="106" t="s">
        <v>22</v>
      </c>
      <c r="D33" s="106"/>
      <c r="E33" s="106"/>
      <c r="F33" s="121">
        <f t="shared" ref="F33:O33" si="9">SUM(F28:F32)</f>
        <v>214934</v>
      </c>
      <c r="G33" s="121">
        <f t="shared" si="9"/>
        <v>7067</v>
      </c>
      <c r="H33" s="121">
        <f t="shared" si="9"/>
        <v>207867</v>
      </c>
      <c r="I33" s="121">
        <f t="shared" si="9"/>
        <v>187860</v>
      </c>
      <c r="J33" s="121">
        <f t="shared" si="9"/>
        <v>20007</v>
      </c>
      <c r="K33" s="121">
        <f t="shared" si="9"/>
        <v>0</v>
      </c>
      <c r="L33" s="121">
        <f t="shared" si="9"/>
        <v>0</v>
      </c>
      <c r="M33" s="121">
        <f t="shared" si="9"/>
        <v>3241833</v>
      </c>
      <c r="N33" s="121">
        <f t="shared" si="9"/>
        <v>0</v>
      </c>
      <c r="O33" s="121">
        <f t="shared" si="9"/>
        <v>93242</v>
      </c>
    </row>
    <row r="34" spans="3:15" ht="23.25" x14ac:dyDescent="0.35">
      <c r="C34" s="126" t="s">
        <v>35</v>
      </c>
      <c r="D34" s="126"/>
      <c r="E34" s="126"/>
      <c r="F34" s="127">
        <f t="shared" ref="F34:O34" si="10">F33+F27+F24+F21+F19+F11</f>
        <v>1002466</v>
      </c>
      <c r="G34" s="127">
        <f t="shared" si="10"/>
        <v>14772</v>
      </c>
      <c r="H34" s="127">
        <f t="shared" si="10"/>
        <v>987694</v>
      </c>
      <c r="I34" s="127">
        <f t="shared" si="10"/>
        <v>730277</v>
      </c>
      <c r="J34" s="127">
        <f t="shared" si="10"/>
        <v>257417</v>
      </c>
      <c r="K34" s="127">
        <f t="shared" si="10"/>
        <v>0</v>
      </c>
      <c r="L34" s="127">
        <f t="shared" si="10"/>
        <v>3950</v>
      </c>
      <c r="M34" s="127">
        <f t="shared" si="10"/>
        <v>15706909</v>
      </c>
      <c r="N34" s="127">
        <f t="shared" si="10"/>
        <v>0</v>
      </c>
      <c r="O34" s="127">
        <f t="shared" si="10"/>
        <v>625528</v>
      </c>
    </row>
    <row r="35" spans="3:15" ht="23.25" x14ac:dyDescent="0.35">
      <c r="F35" s="128" t="s">
        <v>36</v>
      </c>
      <c r="G35" s="116">
        <f>O11+L11+J11-K11</f>
        <v>480176</v>
      </c>
      <c r="H35" s="252"/>
      <c r="I35" s="253"/>
      <c r="J35" s="129"/>
      <c r="K35" s="130"/>
      <c r="L35" s="130"/>
    </row>
    <row r="36" spans="3:15" ht="23.25" x14ac:dyDescent="0.35">
      <c r="F36" s="131" t="s">
        <v>37</v>
      </c>
      <c r="G36" s="116">
        <f>O19+L19+J19-K19+O21+L21+J21-K21</f>
        <v>293470</v>
      </c>
      <c r="H36" s="132"/>
      <c r="I36" s="133" t="s">
        <v>89</v>
      </c>
      <c r="J36" s="133" t="s">
        <v>90</v>
      </c>
      <c r="K36" s="239" t="s">
        <v>88</v>
      </c>
      <c r="L36" s="238"/>
      <c r="M36" s="254" t="s">
        <v>87</v>
      </c>
      <c r="N36" s="255"/>
      <c r="O36" s="256"/>
    </row>
    <row r="37" spans="3:15" ht="23.25" x14ac:dyDescent="0.35">
      <c r="C37" s="257" t="s">
        <v>68</v>
      </c>
      <c r="D37" s="258"/>
      <c r="F37" s="134" t="s">
        <v>38</v>
      </c>
      <c r="G37" s="116">
        <f>O24+L24+J24-K24</f>
        <v>0</v>
      </c>
      <c r="H37" s="132"/>
      <c r="I37" s="133"/>
      <c r="J37" s="135"/>
      <c r="K37" s="239"/>
      <c r="L37" s="238"/>
      <c r="M37" s="136"/>
      <c r="N37" s="137"/>
      <c r="O37" s="138"/>
    </row>
    <row r="38" spans="3:15" ht="23.25" x14ac:dyDescent="0.35">
      <c r="C38" s="139"/>
      <c r="D38" s="139"/>
      <c r="F38" s="140" t="s">
        <v>30</v>
      </c>
      <c r="G38" s="116">
        <f>O27+L27+J27-K27</f>
        <v>0</v>
      </c>
      <c r="H38" s="132"/>
      <c r="I38" s="141"/>
      <c r="J38" s="135"/>
      <c r="K38" s="239"/>
      <c r="L38" s="238"/>
      <c r="M38" s="136"/>
      <c r="N38" s="137"/>
      <c r="O38" s="138"/>
    </row>
    <row r="39" spans="3:15" ht="23.25" x14ac:dyDescent="0.35">
      <c r="C39" s="139"/>
      <c r="D39" s="139"/>
      <c r="F39" s="128" t="s">
        <v>39</v>
      </c>
      <c r="G39" s="116">
        <f>O33+L33+J33-K33</f>
        <v>113249</v>
      </c>
      <c r="H39" s="132"/>
      <c r="I39" s="141"/>
      <c r="J39" s="135"/>
      <c r="K39" s="239"/>
      <c r="L39" s="238"/>
      <c r="M39" s="136"/>
      <c r="N39" s="137"/>
      <c r="O39" s="138"/>
    </row>
    <row r="40" spans="3:15" ht="23.25" x14ac:dyDescent="0.35">
      <c r="C40" s="139"/>
      <c r="D40" s="139"/>
      <c r="F40" s="142" t="s">
        <v>40</v>
      </c>
      <c r="G40" s="143">
        <f>SUM(G35:G39)</f>
        <v>886895</v>
      </c>
      <c r="I40" s="139"/>
      <c r="J40" s="135"/>
      <c r="K40" s="239"/>
      <c r="L40" s="238"/>
      <c r="M40" s="136"/>
      <c r="N40" s="137"/>
      <c r="O40" s="138"/>
    </row>
    <row r="41" spans="3:15" ht="24" customHeight="1" x14ac:dyDescent="0.35">
      <c r="C41" s="139"/>
      <c r="D41" s="139"/>
      <c r="F41" s="144"/>
      <c r="G41" s="145"/>
      <c r="I41" s="139"/>
      <c r="J41" s="135"/>
      <c r="K41" s="239"/>
      <c r="L41" s="238"/>
      <c r="M41" s="136"/>
      <c r="N41" s="137"/>
      <c r="O41" s="138"/>
    </row>
    <row r="42" spans="3:15" ht="24" customHeight="1" x14ac:dyDescent="0.35">
      <c r="C42" s="139"/>
      <c r="D42" s="139"/>
      <c r="F42" s="144"/>
      <c r="G42" s="145"/>
      <c r="I42" s="139"/>
      <c r="J42" s="135"/>
      <c r="K42" s="137"/>
      <c r="L42" s="137"/>
      <c r="M42" s="136"/>
      <c r="N42" s="137"/>
      <c r="O42" s="138"/>
    </row>
    <row r="43" spans="3:15" ht="24" customHeight="1" x14ac:dyDescent="0.35">
      <c r="C43" s="139"/>
      <c r="D43" s="139"/>
      <c r="F43" s="144"/>
      <c r="G43" s="145"/>
      <c r="I43" s="139"/>
      <c r="J43" s="135"/>
      <c r="K43" s="137"/>
      <c r="L43" s="137"/>
      <c r="M43" s="136"/>
      <c r="N43" s="137"/>
      <c r="O43" s="138"/>
    </row>
    <row r="44" spans="3:15" ht="24" customHeight="1" x14ac:dyDescent="0.35">
      <c r="C44" s="139"/>
      <c r="D44" s="139"/>
      <c r="F44" s="144"/>
      <c r="G44" s="145"/>
      <c r="I44" s="139"/>
      <c r="J44" s="135"/>
      <c r="K44" s="137"/>
      <c r="L44" s="137"/>
      <c r="M44" s="136"/>
      <c r="N44" s="137"/>
      <c r="O44" s="138"/>
    </row>
    <row r="45" spans="3:15" ht="24" customHeight="1" x14ac:dyDescent="0.35">
      <c r="C45" s="139"/>
      <c r="D45" s="139"/>
      <c r="F45" s="144"/>
      <c r="G45" s="145"/>
      <c r="I45" s="139"/>
      <c r="J45" s="135"/>
      <c r="K45" s="237"/>
      <c r="L45" s="238"/>
      <c r="M45" s="237"/>
      <c r="N45" s="239"/>
      <c r="O45" s="238"/>
    </row>
    <row r="46" spans="3:15" ht="24" customHeight="1" x14ac:dyDescent="0.35">
      <c r="C46" s="139"/>
      <c r="D46" s="139"/>
      <c r="F46" s="144"/>
      <c r="G46" s="145"/>
      <c r="I46" s="139"/>
      <c r="J46" s="133"/>
      <c r="K46" s="237"/>
      <c r="L46" s="238"/>
      <c r="M46" s="237"/>
      <c r="N46" s="239"/>
      <c r="O46" s="238"/>
    </row>
    <row r="47" spans="3:15" ht="24" customHeight="1" x14ac:dyDescent="0.35">
      <c r="C47" s="139"/>
      <c r="D47" s="139"/>
      <c r="F47" s="144"/>
      <c r="G47" s="145"/>
      <c r="I47" s="139"/>
      <c r="J47" s="133"/>
      <c r="K47" s="237"/>
      <c r="L47" s="238"/>
      <c r="M47" s="237"/>
      <c r="N47" s="239"/>
      <c r="O47" s="238"/>
    </row>
    <row r="48" spans="3:15" ht="24" customHeight="1" x14ac:dyDescent="0.35">
      <c r="C48" s="139"/>
      <c r="D48" s="139"/>
      <c r="F48" s="144"/>
      <c r="G48" s="145"/>
      <c r="I48" s="139"/>
      <c r="J48" s="133"/>
      <c r="K48" s="237"/>
      <c r="L48" s="238"/>
      <c r="M48" s="237"/>
      <c r="N48" s="239"/>
      <c r="O48" s="238"/>
    </row>
    <row r="49" spans="3:15" ht="24" customHeight="1" x14ac:dyDescent="0.35">
      <c r="C49" s="139"/>
      <c r="D49" s="139"/>
      <c r="F49" s="144"/>
      <c r="G49" s="145"/>
      <c r="I49" s="139"/>
      <c r="J49" s="133"/>
      <c r="K49" s="237"/>
      <c r="L49" s="238"/>
      <c r="M49" s="237"/>
      <c r="N49" s="239"/>
      <c r="O49" s="238"/>
    </row>
    <row r="50" spans="3:15" ht="24" customHeight="1" x14ac:dyDescent="0.35">
      <c r="H50" s="240" t="s">
        <v>41</v>
      </c>
      <c r="I50" s="240"/>
      <c r="J50" s="240"/>
      <c r="K50" s="241"/>
      <c r="L50" s="110"/>
      <c r="M50" s="146"/>
    </row>
    <row r="51" spans="3:15" ht="24" customHeight="1" x14ac:dyDescent="0.35">
      <c r="H51" s="147" t="s">
        <v>42</v>
      </c>
      <c r="I51" s="147" t="s">
        <v>43</v>
      </c>
      <c r="J51" s="147" t="s">
        <v>44</v>
      </c>
      <c r="K51" s="241"/>
      <c r="L51" s="146"/>
    </row>
    <row r="52" spans="3:15" ht="24" customHeight="1" x14ac:dyDescent="0.35">
      <c r="F52" s="148"/>
      <c r="H52" s="104" t="s">
        <v>14</v>
      </c>
      <c r="I52" s="104" t="s">
        <v>15</v>
      </c>
      <c r="J52" s="148">
        <f>M5-O5-N5-L5+I5</f>
        <v>321167</v>
      </c>
      <c r="K52" s="149">
        <v>321167</v>
      </c>
      <c r="L52" s="150">
        <f>J52-K52</f>
        <v>0</v>
      </c>
      <c r="M52" s="148"/>
    </row>
    <row r="53" spans="3:15" ht="24" customHeight="1" x14ac:dyDescent="0.35">
      <c r="C53" s="242">
        <v>45931</v>
      </c>
      <c r="D53" s="242"/>
      <c r="E53" s="242"/>
      <c r="H53" s="104" t="s">
        <v>14</v>
      </c>
      <c r="I53" s="104" t="s">
        <v>17</v>
      </c>
      <c r="J53" s="148">
        <f>M6-O6-N6-L6+I6+G53</f>
        <v>3674204</v>
      </c>
      <c r="K53" s="149">
        <v>3674204</v>
      </c>
      <c r="L53" s="150">
        <f t="shared" ref="L53:L64" si="11">J53-K53</f>
        <v>0</v>
      </c>
      <c r="M53" s="148"/>
    </row>
    <row r="54" spans="3:15" ht="24" customHeight="1" x14ac:dyDescent="0.35">
      <c r="C54" s="243" t="s">
        <v>63</v>
      </c>
      <c r="D54" s="243"/>
      <c r="E54" s="243"/>
      <c r="H54" s="104" t="s">
        <v>14</v>
      </c>
      <c r="I54" s="104" t="s">
        <v>18</v>
      </c>
      <c r="J54" s="148">
        <f>M7-O7-N7-L7+I7+G54</f>
        <v>1885991</v>
      </c>
      <c r="K54" s="149">
        <v>1885991</v>
      </c>
      <c r="L54" s="150">
        <f t="shared" si="11"/>
        <v>0</v>
      </c>
      <c r="M54" s="148"/>
    </row>
    <row r="55" spans="3:15" ht="24" customHeight="1" x14ac:dyDescent="0.35">
      <c r="C55" s="139" t="s">
        <v>64</v>
      </c>
      <c r="D55" s="225">
        <f>'Opening Balance FEB 2026'!J4</f>
        <v>1308640</v>
      </c>
      <c r="E55" s="226"/>
      <c r="H55" s="104" t="s">
        <v>14</v>
      </c>
      <c r="I55" s="104" t="s">
        <v>19</v>
      </c>
      <c r="J55" s="148">
        <f>M8-O8-N8-L8+I8+G55</f>
        <v>1367441</v>
      </c>
      <c r="K55" s="149">
        <v>1367441</v>
      </c>
      <c r="L55" s="150">
        <f t="shared" si="11"/>
        <v>0</v>
      </c>
      <c r="M55" s="148"/>
    </row>
    <row r="56" spans="3:15" ht="24" customHeight="1" x14ac:dyDescent="0.35">
      <c r="C56" s="139" t="s">
        <v>65</v>
      </c>
      <c r="D56" s="225">
        <f>G40</f>
        <v>886895</v>
      </c>
      <c r="E56" s="226"/>
      <c r="H56" s="104" t="s">
        <v>14</v>
      </c>
      <c r="I56" s="104" t="s">
        <v>20</v>
      </c>
      <c r="J56" s="148">
        <f>M9-O9-N9-L9+I9+G56</f>
        <v>1382664</v>
      </c>
      <c r="K56" s="149">
        <v>1382664</v>
      </c>
      <c r="L56" s="150">
        <f t="shared" si="11"/>
        <v>0</v>
      </c>
      <c r="M56" s="148"/>
    </row>
    <row r="57" spans="3:15" ht="24" customHeight="1" x14ac:dyDescent="0.35">
      <c r="C57" s="151" t="s">
        <v>45</v>
      </c>
      <c r="D57" s="244">
        <f>D55+D56</f>
        <v>2195535</v>
      </c>
      <c r="E57" s="245"/>
      <c r="H57" s="104" t="s">
        <v>14</v>
      </c>
      <c r="I57" s="104" t="s">
        <v>21</v>
      </c>
      <c r="J57" s="148">
        <f>M10-O10-N10-L10+I10+G57</f>
        <v>804699</v>
      </c>
      <c r="K57" s="149">
        <v>804699</v>
      </c>
      <c r="L57" s="150">
        <f t="shared" si="11"/>
        <v>0</v>
      </c>
    </row>
    <row r="58" spans="3:15" ht="24" customHeight="1" x14ac:dyDescent="0.35">
      <c r="C58" s="139" t="s">
        <v>66</v>
      </c>
      <c r="D58" s="235">
        <v>0</v>
      </c>
      <c r="E58" s="236"/>
      <c r="H58" s="152" t="s">
        <v>45</v>
      </c>
      <c r="I58" s="152"/>
      <c r="J58" s="153">
        <f>SUM(J52:J57)</f>
        <v>9436166</v>
      </c>
      <c r="K58" s="154">
        <f>SUM(K52:K57)</f>
        <v>9436166</v>
      </c>
      <c r="L58" s="150">
        <f t="shared" si="11"/>
        <v>0</v>
      </c>
    </row>
    <row r="59" spans="3:15" ht="24" customHeight="1" x14ac:dyDescent="0.35">
      <c r="C59" s="139" t="s">
        <v>78</v>
      </c>
      <c r="D59" s="235">
        <v>0</v>
      </c>
      <c r="E59" s="236"/>
      <c r="H59" s="152"/>
      <c r="I59" s="152"/>
      <c r="J59" s="153"/>
      <c r="K59" s="155"/>
      <c r="L59" s="150"/>
    </row>
    <row r="60" spans="3:15" ht="24" customHeight="1" x14ac:dyDescent="0.35">
      <c r="C60" s="139" t="s">
        <v>75</v>
      </c>
      <c r="D60" s="235">
        <v>10000</v>
      </c>
      <c r="E60" s="236"/>
      <c r="H60" s="147" t="s">
        <v>42</v>
      </c>
      <c r="I60" s="147" t="s">
        <v>43</v>
      </c>
      <c r="J60" s="147" t="s">
        <v>44</v>
      </c>
      <c r="K60" s="146"/>
      <c r="L60" s="150"/>
    </row>
    <row r="61" spans="3:15" ht="24" customHeight="1" x14ac:dyDescent="0.35">
      <c r="C61" s="156" t="s">
        <v>83</v>
      </c>
      <c r="D61" s="227">
        <f>SUM(D58:E60)</f>
        <v>10000</v>
      </c>
      <c r="E61" s="228"/>
      <c r="H61" s="104" t="s">
        <v>46</v>
      </c>
      <c r="I61" s="104" t="s">
        <v>48</v>
      </c>
      <c r="J61" s="148">
        <f>M12-O12-N12-L12+I12+I13</f>
        <v>468674</v>
      </c>
      <c r="K61" s="149">
        <v>468674</v>
      </c>
      <c r="L61" s="150">
        <f t="shared" si="11"/>
        <v>0</v>
      </c>
    </row>
    <row r="62" spans="3:15" ht="24" customHeight="1" x14ac:dyDescent="0.35">
      <c r="C62" s="157" t="s">
        <v>67</v>
      </c>
      <c r="D62" s="229">
        <f>D57-D58-D60-D59</f>
        <v>2185535</v>
      </c>
      <c r="E62" s="230"/>
      <c r="H62" s="104" t="s">
        <v>46</v>
      </c>
      <c r="I62" s="104" t="s">
        <v>47</v>
      </c>
      <c r="J62" s="148">
        <f>M14-O14-N14-L14+I14+I15</f>
        <v>1783234</v>
      </c>
      <c r="K62" s="149">
        <v>1828234</v>
      </c>
      <c r="L62" s="150">
        <f t="shared" si="11"/>
        <v>-45000</v>
      </c>
      <c r="N62" s="148"/>
    </row>
    <row r="63" spans="3:15" ht="24" customHeight="1" x14ac:dyDescent="0.35">
      <c r="C63" s="158" t="s">
        <v>68</v>
      </c>
      <c r="D63" s="231"/>
      <c r="E63" s="232"/>
      <c r="H63" s="104" t="s">
        <v>46</v>
      </c>
      <c r="I63" s="104" t="s">
        <v>15</v>
      </c>
      <c r="J63" s="148">
        <f>M16-O16-N16-L16+I16</f>
        <v>431773</v>
      </c>
      <c r="K63" s="149">
        <v>431773</v>
      </c>
      <c r="L63" s="150">
        <f t="shared" si="11"/>
        <v>0</v>
      </c>
      <c r="M63" s="148"/>
      <c r="N63" s="148"/>
    </row>
    <row r="64" spans="3:15" ht="24" customHeight="1" x14ac:dyDescent="0.35">
      <c r="C64" s="139" t="s">
        <v>14</v>
      </c>
      <c r="D64" s="225">
        <v>0</v>
      </c>
      <c r="E64" s="226"/>
      <c r="H64" s="104" t="s">
        <v>46</v>
      </c>
      <c r="I64" s="104" t="s">
        <v>20</v>
      </c>
      <c r="J64" s="148">
        <v>8160</v>
      </c>
      <c r="K64" s="149">
        <v>8160</v>
      </c>
      <c r="L64" s="150">
        <f t="shared" si="11"/>
        <v>0</v>
      </c>
    </row>
    <row r="65" spans="3:14" ht="24" customHeight="1" x14ac:dyDescent="0.35">
      <c r="C65" s="139" t="s">
        <v>72</v>
      </c>
      <c r="D65" s="225">
        <v>0</v>
      </c>
      <c r="E65" s="226"/>
      <c r="H65" s="104" t="s">
        <v>27</v>
      </c>
      <c r="I65" s="104" t="s">
        <v>47</v>
      </c>
      <c r="J65" s="148">
        <f>M20-O20-N20-L20+I20</f>
        <v>51257</v>
      </c>
      <c r="K65" s="149">
        <v>51257</v>
      </c>
      <c r="L65" s="150">
        <f>J65-K65</f>
        <v>0</v>
      </c>
    </row>
    <row r="66" spans="3:14" ht="24" customHeight="1" x14ac:dyDescent="0.35">
      <c r="C66" s="139" t="s">
        <v>69</v>
      </c>
      <c r="D66" s="225">
        <v>0</v>
      </c>
      <c r="E66" s="226"/>
      <c r="H66" s="152" t="s">
        <v>45</v>
      </c>
      <c r="I66" s="152"/>
      <c r="J66" s="153">
        <f>SUM(J61:J65)</f>
        <v>2743098</v>
      </c>
      <c r="K66" s="149">
        <f>SUM(K61:K65)</f>
        <v>2788098</v>
      </c>
      <c r="L66" s="150">
        <f>J66-K66</f>
        <v>-45000</v>
      </c>
    </row>
    <row r="67" spans="3:14" ht="24" customHeight="1" x14ac:dyDescent="0.35">
      <c r="C67" s="139" t="s">
        <v>70</v>
      </c>
      <c r="D67" s="225">
        <v>0</v>
      </c>
      <c r="E67" s="226"/>
      <c r="F67" s="148"/>
      <c r="H67" s="147" t="s">
        <v>42</v>
      </c>
      <c r="I67" s="147" t="s">
        <v>43</v>
      </c>
      <c r="J67" s="147" t="s">
        <v>44</v>
      </c>
    </row>
    <row r="68" spans="3:14" ht="24" customHeight="1" x14ac:dyDescent="0.35">
      <c r="C68" s="139" t="s">
        <v>71</v>
      </c>
      <c r="D68" s="225">
        <v>0</v>
      </c>
      <c r="E68" s="226"/>
      <c r="F68" s="159"/>
      <c r="G68" s="160"/>
      <c r="H68" s="104" t="s">
        <v>49</v>
      </c>
      <c r="I68" s="104" t="s">
        <v>51</v>
      </c>
      <c r="J68" s="148">
        <f>M28-O28-N28-L28+I28</f>
        <v>1645431</v>
      </c>
      <c r="K68" s="149">
        <v>1645431</v>
      </c>
      <c r="L68" s="150">
        <f t="shared" ref="L68:L74" si="12">J68-K68</f>
        <v>0</v>
      </c>
      <c r="N68" s="148"/>
    </row>
    <row r="69" spans="3:14" ht="24" customHeight="1" x14ac:dyDescent="0.35">
      <c r="C69" s="157" t="s">
        <v>73</v>
      </c>
      <c r="D69" s="229">
        <f>SUM(D64:D68)</f>
        <v>0</v>
      </c>
      <c r="E69" s="230"/>
      <c r="F69" s="148"/>
      <c r="H69" s="104" t="s">
        <v>49</v>
      </c>
      <c r="I69" s="104" t="s">
        <v>18</v>
      </c>
      <c r="J69" s="148">
        <f>M29-O29-N29-L29+I29</f>
        <v>174473</v>
      </c>
      <c r="K69" s="149">
        <v>174473</v>
      </c>
      <c r="L69" s="150">
        <f t="shared" si="12"/>
        <v>0</v>
      </c>
    </row>
    <row r="70" spans="3:14" ht="24" customHeight="1" x14ac:dyDescent="0.35">
      <c r="C70" s="161" t="s">
        <v>74</v>
      </c>
      <c r="D70" s="233">
        <f>D62-D69</f>
        <v>2185535</v>
      </c>
      <c r="E70" s="234"/>
      <c r="F70" s="148"/>
      <c r="H70" s="104" t="s">
        <v>49</v>
      </c>
      <c r="I70" s="104" t="s">
        <v>15</v>
      </c>
      <c r="J70" s="148">
        <f>M30-O30-N30-L30+I30</f>
        <v>35126</v>
      </c>
      <c r="K70" s="149">
        <v>35126</v>
      </c>
      <c r="L70" s="150">
        <f t="shared" si="12"/>
        <v>0</v>
      </c>
    </row>
    <row r="71" spans="3:14" ht="24" customHeight="1" x14ac:dyDescent="0.35">
      <c r="C71" s="139"/>
      <c r="D71" s="225">
        <v>3102990</v>
      </c>
      <c r="E71" s="226"/>
      <c r="H71" s="104" t="s">
        <v>49</v>
      </c>
      <c r="I71" s="104" t="s">
        <v>50</v>
      </c>
      <c r="J71" s="148">
        <f>M32-O32-N32-L32+I32+G71+I31</f>
        <v>1481421</v>
      </c>
      <c r="K71" s="162">
        <v>1482967</v>
      </c>
      <c r="L71" s="150">
        <f t="shared" si="12"/>
        <v>-1546</v>
      </c>
    </row>
    <row r="72" spans="3:14" ht="24" customHeight="1" x14ac:dyDescent="0.35">
      <c r="C72" s="139"/>
      <c r="D72" s="225">
        <f>D70-D71</f>
        <v>-917455</v>
      </c>
      <c r="E72" s="226"/>
      <c r="H72" s="104" t="s">
        <v>49</v>
      </c>
      <c r="I72" s="104" t="s">
        <v>20</v>
      </c>
      <c r="J72" s="148">
        <f>'Opening Balance FEB 2026'!F24</f>
        <v>66046</v>
      </c>
      <c r="K72" s="149">
        <v>66046</v>
      </c>
      <c r="L72" s="150">
        <f t="shared" si="12"/>
        <v>0</v>
      </c>
    </row>
    <row r="73" spans="3:14" ht="24" customHeight="1" x14ac:dyDescent="0.35">
      <c r="H73" s="104" t="s">
        <v>49</v>
      </c>
      <c r="I73" s="104" t="s">
        <v>47</v>
      </c>
      <c r="J73" s="148">
        <f>'Opening Balance FEB 2026'!F25</f>
        <v>23570</v>
      </c>
      <c r="K73" s="149">
        <v>23570</v>
      </c>
      <c r="L73" s="150">
        <f t="shared" si="12"/>
        <v>0</v>
      </c>
    </row>
    <row r="74" spans="3:14" ht="24" customHeight="1" x14ac:dyDescent="0.35">
      <c r="H74" s="152" t="s">
        <v>45</v>
      </c>
      <c r="I74" s="152"/>
      <c r="J74" s="153">
        <f>SUM(J68:J73)</f>
        <v>3426067</v>
      </c>
      <c r="K74" s="149">
        <v>3422613</v>
      </c>
      <c r="L74" s="150">
        <f t="shared" si="12"/>
        <v>3454</v>
      </c>
      <c r="N74" s="148"/>
    </row>
    <row r="75" spans="3:14" ht="24" customHeight="1" x14ac:dyDescent="0.35">
      <c r="H75" s="147" t="s">
        <v>42</v>
      </c>
      <c r="I75" s="147" t="s">
        <v>43</v>
      </c>
      <c r="J75" s="147" t="s">
        <v>44</v>
      </c>
    </row>
    <row r="76" spans="3:14" ht="24" customHeight="1" x14ac:dyDescent="0.35">
      <c r="H76" s="104" t="s">
        <v>52</v>
      </c>
      <c r="I76" s="104" t="s">
        <v>53</v>
      </c>
      <c r="J76" s="148">
        <f>M22-O22-N22-L22+I22-G75</f>
        <v>33969</v>
      </c>
      <c r="K76" s="148">
        <v>33969</v>
      </c>
      <c r="L76" s="150">
        <f>J76-K76</f>
        <v>0</v>
      </c>
    </row>
    <row r="77" spans="3:14" ht="24" customHeight="1" x14ac:dyDescent="0.35">
      <c r="H77" s="104" t="s">
        <v>52</v>
      </c>
      <c r="I77" s="104" t="s">
        <v>47</v>
      </c>
      <c r="J77" s="148">
        <f>M23-O23-N23-L23+I23</f>
        <v>151366</v>
      </c>
      <c r="K77" s="162">
        <v>151366</v>
      </c>
      <c r="L77" s="150">
        <f>J77-K77</f>
        <v>0</v>
      </c>
    </row>
    <row r="78" spans="3:14" ht="24" customHeight="1" x14ac:dyDescent="0.35">
      <c r="H78" s="152" t="s">
        <v>45</v>
      </c>
      <c r="I78" s="152"/>
      <c r="J78" s="153">
        <f>SUM(J76:J77)</f>
        <v>185335</v>
      </c>
      <c r="K78" s="148">
        <v>160846</v>
      </c>
      <c r="L78" s="150">
        <f>J78-K78</f>
        <v>24489</v>
      </c>
    </row>
    <row r="79" spans="3:14" ht="24" customHeight="1" x14ac:dyDescent="0.35">
      <c r="G79" s="104">
        <v>0</v>
      </c>
      <c r="H79" s="147" t="s">
        <v>42</v>
      </c>
      <c r="I79" s="147" t="s">
        <v>43</v>
      </c>
      <c r="J79" s="147" t="s">
        <v>44</v>
      </c>
      <c r="K79" s="149">
        <v>0</v>
      </c>
      <c r="L79" s="150"/>
    </row>
    <row r="80" spans="3:14" ht="24" customHeight="1" x14ac:dyDescent="0.35">
      <c r="H80" s="104" t="s">
        <v>54</v>
      </c>
      <c r="I80" s="104" t="s">
        <v>53</v>
      </c>
      <c r="J80" s="148">
        <f>M25-O25-N25-L25+I25-G79</f>
        <v>89658</v>
      </c>
      <c r="K80" s="149">
        <v>89658</v>
      </c>
      <c r="L80" s="150">
        <f>J80-K80</f>
        <v>0</v>
      </c>
    </row>
    <row r="81" spans="4:12" ht="24" customHeight="1" x14ac:dyDescent="0.35">
      <c r="H81" s="104" t="s">
        <v>54</v>
      </c>
      <c r="I81" s="104" t="s">
        <v>18</v>
      </c>
      <c r="J81" s="148">
        <f>M26-O26-N26-L26+I26</f>
        <v>17000</v>
      </c>
      <c r="K81" s="149">
        <v>67000</v>
      </c>
      <c r="L81" s="150">
        <f>J81-K81</f>
        <v>-50000</v>
      </c>
    </row>
    <row r="82" spans="4:12" ht="24" customHeight="1" x14ac:dyDescent="0.35">
      <c r="H82" s="152" t="s">
        <v>45</v>
      </c>
      <c r="I82" s="152"/>
      <c r="J82" s="153">
        <f>SUM(J80:J81)</f>
        <v>106658</v>
      </c>
      <c r="K82" s="148">
        <f>SUM(K79:K81)</f>
        <v>156658</v>
      </c>
      <c r="L82" s="150">
        <f>J82-K82</f>
        <v>-50000</v>
      </c>
    </row>
    <row r="83" spans="4:12" ht="24" customHeight="1" x14ac:dyDescent="0.35">
      <c r="H83" s="147" t="s">
        <v>42</v>
      </c>
      <c r="I83" s="147" t="s">
        <v>43</v>
      </c>
      <c r="J83" s="147" t="s">
        <v>44</v>
      </c>
      <c r="K83" s="149">
        <v>0</v>
      </c>
      <c r="L83" s="150"/>
    </row>
    <row r="84" spans="4:12" ht="24" customHeight="1" x14ac:dyDescent="0.35">
      <c r="H84" s="104" t="s">
        <v>55</v>
      </c>
      <c r="I84" s="104" t="s">
        <v>56</v>
      </c>
      <c r="J84" s="148">
        <f>'Opening Balance FEB 2026'!F36</f>
        <v>103541</v>
      </c>
      <c r="K84" s="149">
        <v>103541</v>
      </c>
      <c r="L84" s="150">
        <f>J84-K84</f>
        <v>0</v>
      </c>
    </row>
    <row r="85" spans="4:12" ht="24" customHeight="1" x14ac:dyDescent="0.35">
      <c r="H85" s="104" t="s">
        <v>55</v>
      </c>
      <c r="I85" s="104" t="s">
        <v>47</v>
      </c>
      <c r="J85" s="148">
        <f>'Opening Balance FEB 2026'!F37</f>
        <v>6013</v>
      </c>
      <c r="K85" s="149">
        <v>6013</v>
      </c>
      <c r="L85" s="150">
        <f>J85-K85</f>
        <v>0</v>
      </c>
    </row>
    <row r="86" spans="4:12" ht="24" customHeight="1" x14ac:dyDescent="0.35">
      <c r="H86" s="152" t="s">
        <v>45</v>
      </c>
      <c r="I86" s="152"/>
      <c r="J86" s="153">
        <v>109554</v>
      </c>
      <c r="K86" s="148">
        <f>SUM(K83:K85)</f>
        <v>109554</v>
      </c>
      <c r="L86" s="150">
        <f>J86-K86</f>
        <v>0</v>
      </c>
    </row>
    <row r="87" spans="4:12" ht="24" customHeight="1" x14ac:dyDescent="0.35">
      <c r="H87" s="147" t="s">
        <v>42</v>
      </c>
      <c r="I87" s="147" t="s">
        <v>43</v>
      </c>
      <c r="J87" s="147" t="s">
        <v>44</v>
      </c>
      <c r="K87" s="149">
        <v>0</v>
      </c>
      <c r="L87" s="150"/>
    </row>
    <row r="88" spans="4:12" ht="24" customHeight="1" x14ac:dyDescent="0.35">
      <c r="H88" s="104" t="s">
        <v>57</v>
      </c>
      <c r="I88" s="104" t="s">
        <v>47</v>
      </c>
      <c r="J88" s="148">
        <f>'Opening Balance FEB 2026'!F40</f>
        <v>16440</v>
      </c>
      <c r="K88" s="149">
        <v>16440</v>
      </c>
      <c r="L88" s="150">
        <f>J88-K88</f>
        <v>0</v>
      </c>
    </row>
    <row r="89" spans="4:12" ht="24" customHeight="1" x14ac:dyDescent="0.35">
      <c r="H89" s="152" t="s">
        <v>45</v>
      </c>
      <c r="I89" s="152"/>
      <c r="J89" s="153">
        <v>16440</v>
      </c>
      <c r="K89" s="149">
        <f>SUM(K87:K88)</f>
        <v>16440</v>
      </c>
    </row>
    <row r="90" spans="4:12" ht="24" customHeight="1" x14ac:dyDescent="0.35">
      <c r="J90" s="148"/>
    </row>
    <row r="91" spans="4:12" ht="24" customHeight="1" x14ac:dyDescent="0.35">
      <c r="H91" s="163" t="s">
        <v>58</v>
      </c>
      <c r="I91" s="163"/>
      <c r="J91" s="164">
        <f>J89+J86+J82+J78+J74+J66+J58</f>
        <v>16023318</v>
      </c>
    </row>
    <row r="93" spans="4:12" ht="24" customHeight="1" x14ac:dyDescent="0.35">
      <c r="D93" s="165" t="s">
        <v>82</v>
      </c>
      <c r="E93" s="165"/>
      <c r="F93" s="165"/>
      <c r="G93" s="165"/>
      <c r="H93" s="165"/>
    </row>
    <row r="94" spans="4:12" ht="24" customHeight="1" x14ac:dyDescent="0.35">
      <c r="D94" s="158" t="s">
        <v>42</v>
      </c>
      <c r="E94" s="158" t="s">
        <v>43</v>
      </c>
      <c r="F94" s="158" t="s">
        <v>79</v>
      </c>
      <c r="G94" s="158" t="s">
        <v>80</v>
      </c>
      <c r="H94" s="158" t="s">
        <v>81</v>
      </c>
    </row>
    <row r="95" spans="4:12" ht="24" customHeight="1" x14ac:dyDescent="0.35">
      <c r="D95" s="139" t="s">
        <v>14</v>
      </c>
      <c r="E95" s="139" t="s">
        <v>15</v>
      </c>
      <c r="F95" s="166">
        <f>H5</f>
        <v>124979</v>
      </c>
      <c r="G95" s="166">
        <f t="shared" ref="G95:G100" si="13">O5</f>
        <v>46893</v>
      </c>
      <c r="H95" s="166">
        <f t="shared" ref="H95:H100" si="14">I5</f>
        <v>40050</v>
      </c>
    </row>
    <row r="96" spans="4:12" ht="24" customHeight="1" x14ac:dyDescent="0.35">
      <c r="D96" s="139" t="s">
        <v>14</v>
      </c>
      <c r="E96" s="139" t="s">
        <v>17</v>
      </c>
      <c r="F96" s="166">
        <f>H6</f>
        <v>0</v>
      </c>
      <c r="G96" s="166">
        <f t="shared" si="13"/>
        <v>50000</v>
      </c>
      <c r="H96" s="166">
        <f t="shared" si="14"/>
        <v>0</v>
      </c>
    </row>
    <row r="97" spans="4:8" ht="24" customHeight="1" x14ac:dyDescent="0.35">
      <c r="D97" s="139" t="s">
        <v>14</v>
      </c>
      <c r="E97" s="139" t="s">
        <v>18</v>
      </c>
      <c r="F97" s="166">
        <f>H7</f>
        <v>135286</v>
      </c>
      <c r="G97" s="166">
        <f t="shared" si="13"/>
        <v>45660</v>
      </c>
      <c r="H97" s="166">
        <f t="shared" si="14"/>
        <v>120710</v>
      </c>
    </row>
    <row r="98" spans="4:8" ht="24" customHeight="1" x14ac:dyDescent="0.35">
      <c r="D98" s="139" t="s">
        <v>14</v>
      </c>
      <c r="E98" s="139" t="s">
        <v>19</v>
      </c>
      <c r="F98" s="166">
        <f>H8</f>
        <v>136922</v>
      </c>
      <c r="G98" s="166">
        <f t="shared" si="13"/>
        <v>59086</v>
      </c>
      <c r="H98" s="166">
        <f t="shared" si="14"/>
        <v>119300</v>
      </c>
    </row>
    <row r="99" spans="4:8" ht="24" customHeight="1" x14ac:dyDescent="0.35">
      <c r="D99" s="139" t="s">
        <v>14</v>
      </c>
      <c r="E99" s="139" t="s">
        <v>20</v>
      </c>
      <c r="F99" s="166">
        <f>H9</f>
        <v>58487</v>
      </c>
      <c r="G99" s="166">
        <f t="shared" si="13"/>
        <v>54475</v>
      </c>
      <c r="H99" s="166">
        <f t="shared" si="14"/>
        <v>38378</v>
      </c>
    </row>
    <row r="100" spans="4:8" ht="24" customHeight="1" x14ac:dyDescent="0.35">
      <c r="D100" s="139" t="s">
        <v>14</v>
      </c>
      <c r="E100" s="139" t="s">
        <v>21</v>
      </c>
      <c r="F100" s="166" t="e">
        <f>H10+#REF!</f>
        <v>#REF!</v>
      </c>
      <c r="G100" s="166">
        <f t="shared" si="13"/>
        <v>69243</v>
      </c>
      <c r="H100" s="166">
        <f t="shared" si="14"/>
        <v>115205</v>
      </c>
    </row>
    <row r="101" spans="4:8" ht="24" customHeight="1" x14ac:dyDescent="0.35">
      <c r="D101" s="167" t="s">
        <v>45</v>
      </c>
      <c r="E101" s="167"/>
      <c r="F101" s="168" t="e">
        <f>SUM(F95:F100)</f>
        <v>#REF!</v>
      </c>
      <c r="G101" s="168">
        <f t="shared" ref="G101" si="15">SUM(G95:G100)</f>
        <v>325357</v>
      </c>
      <c r="H101" s="168">
        <f>SUM(H95:H100)</f>
        <v>433643</v>
      </c>
    </row>
    <row r="102" spans="4:8" ht="24" customHeight="1" x14ac:dyDescent="0.35">
      <c r="D102" s="158" t="s">
        <v>42</v>
      </c>
      <c r="E102" s="158" t="s">
        <v>43</v>
      </c>
      <c r="F102" s="169" t="s">
        <v>79</v>
      </c>
      <c r="G102" s="169" t="s">
        <v>80</v>
      </c>
      <c r="H102" s="169" t="s">
        <v>81</v>
      </c>
    </row>
    <row r="103" spans="4:8" ht="24" customHeight="1" x14ac:dyDescent="0.35">
      <c r="D103" s="139" t="s">
        <v>46</v>
      </c>
      <c r="E103" s="139" t="s">
        <v>48</v>
      </c>
      <c r="F103" s="166">
        <f>H12</f>
        <v>126104</v>
      </c>
      <c r="G103" s="166">
        <f>O12</f>
        <v>68807</v>
      </c>
      <c r="H103" s="166">
        <f>I12</f>
        <v>84819</v>
      </c>
    </row>
    <row r="104" spans="4:8" ht="24" customHeight="1" x14ac:dyDescent="0.35">
      <c r="D104" s="139" t="s">
        <v>46</v>
      </c>
      <c r="E104" s="139" t="s">
        <v>47</v>
      </c>
      <c r="F104" s="166">
        <f>H14</f>
        <v>50778</v>
      </c>
      <c r="G104" s="166">
        <f>O14</f>
        <v>112430</v>
      </c>
      <c r="H104" s="166">
        <f>I14</f>
        <v>5522</v>
      </c>
    </row>
    <row r="105" spans="4:8" ht="24" customHeight="1" x14ac:dyDescent="0.35">
      <c r="D105" s="139" t="s">
        <v>27</v>
      </c>
      <c r="E105" s="139" t="s">
        <v>47</v>
      </c>
      <c r="F105" s="166">
        <v>0</v>
      </c>
      <c r="G105" s="166">
        <v>0</v>
      </c>
      <c r="H105" s="166">
        <v>0</v>
      </c>
    </row>
    <row r="106" spans="4:8" ht="24" customHeight="1" x14ac:dyDescent="0.35">
      <c r="D106" s="167" t="s">
        <v>45</v>
      </c>
      <c r="E106" s="167"/>
      <c r="F106" s="168">
        <f>SUM(F103:F105)</f>
        <v>176882</v>
      </c>
      <c r="G106" s="168">
        <f>SUM(G103:G105)</f>
        <v>181237</v>
      </c>
      <c r="H106" s="168">
        <f>SUM(H103:H105)</f>
        <v>90341</v>
      </c>
    </row>
    <row r="107" spans="4:8" ht="24" customHeight="1" x14ac:dyDescent="0.35">
      <c r="D107" s="158" t="s">
        <v>42</v>
      </c>
      <c r="E107" s="158" t="s">
        <v>43</v>
      </c>
      <c r="F107" s="169" t="s">
        <v>79</v>
      </c>
      <c r="G107" s="169" t="s">
        <v>80</v>
      </c>
      <c r="H107" s="169" t="s">
        <v>81</v>
      </c>
    </row>
    <row r="108" spans="4:8" ht="24" customHeight="1" x14ac:dyDescent="0.35">
      <c r="D108" s="139" t="s">
        <v>49</v>
      </c>
      <c r="E108" s="139" t="s">
        <v>51</v>
      </c>
      <c r="F108" s="166" t="e">
        <f>#REF!</f>
        <v>#REF!</v>
      </c>
      <c r="G108" s="166" t="e">
        <f>#REF!</f>
        <v>#REF!</v>
      </c>
      <c r="H108" s="166" t="e">
        <f>#REF!</f>
        <v>#REF!</v>
      </c>
    </row>
    <row r="109" spans="4:8" ht="24" customHeight="1" x14ac:dyDescent="0.35">
      <c r="D109" s="139" t="s">
        <v>49</v>
      </c>
      <c r="E109" s="139" t="s">
        <v>18</v>
      </c>
      <c r="F109" s="166">
        <f>H29</f>
        <v>0</v>
      </c>
      <c r="G109" s="166">
        <f>O29</f>
        <v>0</v>
      </c>
      <c r="H109" s="166">
        <v>0</v>
      </c>
    </row>
    <row r="110" spans="4:8" ht="24" customHeight="1" x14ac:dyDescent="0.35">
      <c r="D110" s="139" t="s">
        <v>49</v>
      </c>
      <c r="E110" s="139" t="s">
        <v>50</v>
      </c>
      <c r="F110" s="166" t="e">
        <f>#REF!+#REF!</f>
        <v>#REF!</v>
      </c>
      <c r="G110" s="166" t="e">
        <f>#REF!</f>
        <v>#REF!</v>
      </c>
      <c r="H110" s="166" t="e">
        <f>#REF!+#REF!</f>
        <v>#REF!</v>
      </c>
    </row>
    <row r="111" spans="4:8" ht="24" customHeight="1" x14ac:dyDescent="0.35">
      <c r="D111" s="167" t="s">
        <v>45</v>
      </c>
      <c r="E111" s="167"/>
      <c r="F111" s="168" t="e">
        <f>SUM(F108:F110)</f>
        <v>#REF!</v>
      </c>
      <c r="G111" s="168" t="e">
        <f>SUM(G108:G110)</f>
        <v>#REF!</v>
      </c>
      <c r="H111" s="168" t="e">
        <f>SUM(H108:H110)</f>
        <v>#REF!</v>
      </c>
    </row>
    <row r="112" spans="4:8" ht="24" customHeight="1" x14ac:dyDescent="0.35">
      <c r="D112" s="158" t="s">
        <v>42</v>
      </c>
      <c r="E112" s="158" t="s">
        <v>43</v>
      </c>
      <c r="F112" s="169" t="s">
        <v>79</v>
      </c>
      <c r="G112" s="169" t="s">
        <v>80</v>
      </c>
      <c r="H112" s="169" t="s">
        <v>81</v>
      </c>
    </row>
    <row r="113" spans="4:8" ht="24" customHeight="1" x14ac:dyDescent="0.35">
      <c r="D113" s="139" t="s">
        <v>52</v>
      </c>
      <c r="E113" s="139" t="s">
        <v>53</v>
      </c>
      <c r="F113" s="166">
        <f>H22</f>
        <v>0</v>
      </c>
      <c r="G113" s="166">
        <f>O22</f>
        <v>0</v>
      </c>
      <c r="H113" s="166">
        <f>I22</f>
        <v>0</v>
      </c>
    </row>
    <row r="114" spans="4:8" ht="24" customHeight="1" x14ac:dyDescent="0.35">
      <c r="D114" s="167" t="s">
        <v>45</v>
      </c>
      <c r="E114" s="167"/>
      <c r="F114" s="168">
        <f>SUM(F113)</f>
        <v>0</v>
      </c>
      <c r="G114" s="168">
        <f t="shared" ref="G114" si="16">SUM(G113)</f>
        <v>0</v>
      </c>
      <c r="H114" s="168">
        <f>SUM(H113)</f>
        <v>0</v>
      </c>
    </row>
    <row r="115" spans="4:8" ht="24" customHeight="1" x14ac:dyDescent="0.35">
      <c r="D115" s="158" t="s">
        <v>42</v>
      </c>
      <c r="E115" s="158" t="s">
        <v>43</v>
      </c>
      <c r="F115" s="169" t="s">
        <v>79</v>
      </c>
      <c r="G115" s="169" t="s">
        <v>80</v>
      </c>
      <c r="H115" s="169" t="s">
        <v>81</v>
      </c>
    </row>
    <row r="116" spans="4:8" ht="24" customHeight="1" x14ac:dyDescent="0.35">
      <c r="D116" s="139" t="s">
        <v>54</v>
      </c>
      <c r="E116" s="139" t="s">
        <v>53</v>
      </c>
      <c r="F116" s="166">
        <f>H25</f>
        <v>0</v>
      </c>
      <c r="G116" s="166">
        <f>O25</f>
        <v>0</v>
      </c>
      <c r="H116" s="166">
        <f>I25</f>
        <v>0</v>
      </c>
    </row>
    <row r="117" spans="4:8" ht="24" customHeight="1" x14ac:dyDescent="0.35">
      <c r="D117" s="139" t="s">
        <v>54</v>
      </c>
      <c r="E117" s="139" t="s">
        <v>18</v>
      </c>
      <c r="F117" s="166">
        <f>H26</f>
        <v>0</v>
      </c>
      <c r="G117" s="166">
        <f>O26</f>
        <v>0</v>
      </c>
      <c r="H117" s="166">
        <f>I26</f>
        <v>0</v>
      </c>
    </row>
    <row r="118" spans="4:8" ht="24" customHeight="1" x14ac:dyDescent="0.35">
      <c r="D118" s="167" t="s">
        <v>45</v>
      </c>
      <c r="E118" s="167"/>
      <c r="F118" s="168">
        <f>SUM(F116:F117)</f>
        <v>0</v>
      </c>
      <c r="G118" s="168">
        <f t="shared" ref="G118" si="17">SUM(G116:G117)</f>
        <v>0</v>
      </c>
      <c r="H118" s="168">
        <f>SUM(H116:H117)</f>
        <v>0</v>
      </c>
    </row>
    <row r="119" spans="4:8" ht="24" customHeight="1" x14ac:dyDescent="0.35">
      <c r="D119" s="170"/>
      <c r="E119" s="170"/>
      <c r="F119" s="171" t="e">
        <f>F118+F114+F111+F106+F101</f>
        <v>#REF!</v>
      </c>
      <c r="G119" s="171" t="e">
        <f t="shared" ref="G119" si="18">G118+G114+G111+G106+G101</f>
        <v>#REF!</v>
      </c>
      <c r="H119" s="171" t="e">
        <f>H118+H114+H111+H106+H101</f>
        <v>#REF!</v>
      </c>
    </row>
  </sheetData>
  <mergeCells count="43">
    <mergeCell ref="D72:E72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60:E60"/>
    <mergeCell ref="K49:L49"/>
    <mergeCell ref="M49:O49"/>
    <mergeCell ref="H50:J50"/>
    <mergeCell ref="K50:K51"/>
    <mergeCell ref="C53:E53"/>
    <mergeCell ref="C54:E54"/>
    <mergeCell ref="D55:E55"/>
    <mergeCell ref="D56:E56"/>
    <mergeCell ref="D57:E57"/>
    <mergeCell ref="D58:E58"/>
    <mergeCell ref="D59:E59"/>
    <mergeCell ref="K46:L46"/>
    <mergeCell ref="M46:O46"/>
    <mergeCell ref="K47:L47"/>
    <mergeCell ref="M47:O47"/>
    <mergeCell ref="K48:L48"/>
    <mergeCell ref="M48:O48"/>
    <mergeCell ref="M45:O45"/>
    <mergeCell ref="C2:O2"/>
    <mergeCell ref="C3:O3"/>
    <mergeCell ref="H35:I35"/>
    <mergeCell ref="K36:L36"/>
    <mergeCell ref="M36:O36"/>
    <mergeCell ref="C37:D37"/>
    <mergeCell ref="K37:L37"/>
    <mergeCell ref="K38:L38"/>
    <mergeCell ref="K39:L39"/>
    <mergeCell ref="K40:L40"/>
    <mergeCell ref="K41:L41"/>
    <mergeCell ref="K45:L45"/>
  </mergeCell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25"/>
  <sheetViews>
    <sheetView zoomScale="56" zoomScaleNormal="56" workbookViewId="0">
      <selection activeCell="G10" sqref="G10"/>
    </sheetView>
  </sheetViews>
  <sheetFormatPr defaultRowHeight="21" x14ac:dyDescent="0.35"/>
  <cols>
    <col min="1" max="1" width="5.5703125" style="42" customWidth="1"/>
    <col min="2" max="2" width="0.140625" style="42" hidden="1" customWidth="1"/>
    <col min="3" max="3" width="20.85546875" style="42" customWidth="1"/>
    <col min="4" max="4" width="26.42578125" style="42" customWidth="1"/>
    <col min="5" max="5" width="18.140625" style="42" customWidth="1"/>
    <col min="6" max="6" width="32.28515625" style="42" bestFit="1" customWidth="1"/>
    <col min="7" max="7" width="21" style="42" customWidth="1"/>
    <col min="8" max="8" width="22.85546875" style="42" customWidth="1"/>
    <col min="9" max="9" width="23.5703125" style="42" customWidth="1"/>
    <col min="10" max="10" width="21.42578125" style="42" customWidth="1"/>
    <col min="11" max="11" width="21.28515625" style="42" customWidth="1"/>
    <col min="12" max="12" width="22.5703125" style="42" customWidth="1"/>
    <col min="13" max="13" width="26.42578125" style="42" customWidth="1"/>
    <col min="14" max="14" width="17.5703125" style="42" customWidth="1"/>
    <col min="15" max="15" width="22" style="42" customWidth="1"/>
    <col min="16" max="16" width="7.5703125" style="42" customWidth="1"/>
    <col min="17" max="17" width="14.28515625" style="42" bestFit="1" customWidth="1"/>
    <col min="18" max="18" width="11.42578125" style="42" customWidth="1"/>
    <col min="19" max="16384" width="9.140625" style="42"/>
  </cols>
  <sheetData>
    <row r="2" spans="1:16" x14ac:dyDescent="0.35">
      <c r="C2" s="194">
        <v>46098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6"/>
    </row>
    <row r="3" spans="1:16" x14ac:dyDescent="0.35">
      <c r="C3" s="197" t="s">
        <v>0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6" ht="63" x14ac:dyDescent="0.35">
      <c r="A4" s="179"/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  <c r="J4" s="40" t="s">
        <v>8</v>
      </c>
      <c r="K4" s="43" t="s">
        <v>9</v>
      </c>
      <c r="L4" s="43" t="s">
        <v>10</v>
      </c>
      <c r="M4" s="44" t="s">
        <v>11</v>
      </c>
      <c r="N4" s="45" t="s">
        <v>12</v>
      </c>
      <c r="O4" s="40" t="s">
        <v>13</v>
      </c>
    </row>
    <row r="5" spans="1:16" x14ac:dyDescent="0.35">
      <c r="A5" s="46"/>
      <c r="C5" s="37" t="s">
        <v>14</v>
      </c>
      <c r="D5" s="38" t="s">
        <v>15</v>
      </c>
      <c r="E5" s="39" t="s">
        <v>97</v>
      </c>
      <c r="F5" s="27">
        <v>54897</v>
      </c>
      <c r="G5" s="27">
        <v>0</v>
      </c>
      <c r="H5" s="28">
        <f>F5-G5</f>
        <v>54897</v>
      </c>
      <c r="I5" s="28">
        <f>H5-J5</f>
        <v>1556</v>
      </c>
      <c r="J5" s="25">
        <v>53341</v>
      </c>
      <c r="K5" s="29">
        <v>0</v>
      </c>
      <c r="L5" s="25">
        <v>0</v>
      </c>
      <c r="M5" s="27">
        <f>'16-03-2026'!J52</f>
        <v>321167</v>
      </c>
      <c r="N5" s="29">
        <v>0</v>
      </c>
      <c r="O5" s="30">
        <v>33200</v>
      </c>
      <c r="P5" s="47"/>
    </row>
    <row r="6" spans="1:16" x14ac:dyDescent="0.35">
      <c r="A6" s="46"/>
      <c r="C6" s="37" t="s">
        <v>14</v>
      </c>
      <c r="D6" s="38" t="s">
        <v>15</v>
      </c>
      <c r="E6" s="39" t="s">
        <v>85</v>
      </c>
      <c r="F6" s="27">
        <v>117486</v>
      </c>
      <c r="G6" s="27">
        <f>548+687</f>
        <v>1235</v>
      </c>
      <c r="H6" s="28">
        <f>F6-G6</f>
        <v>116251</v>
      </c>
      <c r="I6" s="28">
        <f>H6-J6</f>
        <v>71835</v>
      </c>
      <c r="J6" s="25">
        <v>44416</v>
      </c>
      <c r="K6" s="29">
        <v>0</v>
      </c>
      <c r="L6" s="25">
        <v>0</v>
      </c>
      <c r="M6" s="27">
        <v>0</v>
      </c>
      <c r="N6" s="29">
        <v>0</v>
      </c>
      <c r="O6" s="30">
        <v>0</v>
      </c>
      <c r="P6" s="46"/>
    </row>
    <row r="7" spans="1:16" x14ac:dyDescent="0.35">
      <c r="A7" s="46"/>
      <c r="C7" s="37" t="s">
        <v>14</v>
      </c>
      <c r="D7" s="38" t="s">
        <v>17</v>
      </c>
      <c r="E7" s="39" t="s">
        <v>98</v>
      </c>
      <c r="F7" s="27">
        <v>0</v>
      </c>
      <c r="G7" s="27">
        <v>0</v>
      </c>
      <c r="H7" s="28">
        <f t="shared" ref="H7:H12" si="0">F7-G7</f>
        <v>0</v>
      </c>
      <c r="I7" s="28">
        <f t="shared" ref="I7:I12" si="1">H7-J7</f>
        <v>0</v>
      </c>
      <c r="J7" s="25">
        <v>0</v>
      </c>
      <c r="K7" s="29">
        <v>0</v>
      </c>
      <c r="L7" s="25">
        <v>0</v>
      </c>
      <c r="M7" s="27">
        <f>'16-03-2026'!J53</f>
        <v>3674204</v>
      </c>
      <c r="N7" s="29">
        <v>0</v>
      </c>
      <c r="O7" s="30">
        <v>15000</v>
      </c>
    </row>
    <row r="8" spans="1:16" x14ac:dyDescent="0.35">
      <c r="A8" s="46"/>
      <c r="C8" s="37" t="s">
        <v>14</v>
      </c>
      <c r="D8" s="38" t="s">
        <v>18</v>
      </c>
      <c r="E8" s="39" t="s">
        <v>97</v>
      </c>
      <c r="F8" s="27">
        <v>166130</v>
      </c>
      <c r="G8" s="27">
        <v>0</v>
      </c>
      <c r="H8" s="28">
        <f t="shared" si="0"/>
        <v>166130</v>
      </c>
      <c r="I8" s="28">
        <f t="shared" si="1"/>
        <v>88833</v>
      </c>
      <c r="J8" s="25">
        <v>77297</v>
      </c>
      <c r="K8" s="29">
        <v>0</v>
      </c>
      <c r="L8" s="25">
        <v>0</v>
      </c>
      <c r="M8" s="27">
        <f>'16-03-2026'!J54</f>
        <v>1885991</v>
      </c>
      <c r="N8" s="29">
        <v>0</v>
      </c>
      <c r="O8" s="30">
        <v>65899</v>
      </c>
    </row>
    <row r="9" spans="1:16" x14ac:dyDescent="0.35">
      <c r="A9" s="46"/>
      <c r="C9" s="37" t="s">
        <v>14</v>
      </c>
      <c r="D9" s="38" t="s">
        <v>19</v>
      </c>
      <c r="E9" s="39" t="s">
        <v>86</v>
      </c>
      <c r="F9" s="27">
        <v>149583</v>
      </c>
      <c r="G9" s="27">
        <v>3043</v>
      </c>
      <c r="H9" s="28">
        <f t="shared" si="0"/>
        <v>146540</v>
      </c>
      <c r="I9" s="28">
        <f t="shared" si="1"/>
        <v>138520</v>
      </c>
      <c r="J9" s="25">
        <v>8020</v>
      </c>
      <c r="K9" s="29">
        <v>0</v>
      </c>
      <c r="L9" s="25">
        <v>0</v>
      </c>
      <c r="M9" s="27">
        <f>'16-03-2026'!J55</f>
        <v>1367441</v>
      </c>
      <c r="N9" s="29">
        <v>0</v>
      </c>
      <c r="O9" s="30">
        <v>92331</v>
      </c>
    </row>
    <row r="10" spans="1:16" x14ac:dyDescent="0.35">
      <c r="A10" s="46"/>
      <c r="C10" s="37" t="s">
        <v>14</v>
      </c>
      <c r="D10" s="38" t="s">
        <v>20</v>
      </c>
      <c r="E10" s="39" t="s">
        <v>95</v>
      </c>
      <c r="F10" s="27">
        <v>259344</v>
      </c>
      <c r="G10" s="27">
        <v>0</v>
      </c>
      <c r="H10" s="28">
        <f t="shared" si="0"/>
        <v>259344</v>
      </c>
      <c r="I10" s="28">
        <f t="shared" si="1"/>
        <v>120830</v>
      </c>
      <c r="J10" s="25">
        <v>138514</v>
      </c>
      <c r="K10" s="29">
        <v>624</v>
      </c>
      <c r="L10" s="25">
        <v>1000</v>
      </c>
      <c r="M10" s="27">
        <f>'16-03-2026'!J56</f>
        <v>1382664</v>
      </c>
      <c r="N10" s="29">
        <v>0</v>
      </c>
      <c r="O10" s="30">
        <v>41694</v>
      </c>
    </row>
    <row r="11" spans="1:16" x14ac:dyDescent="0.35">
      <c r="A11" s="46"/>
      <c r="C11" s="37" t="s">
        <v>14</v>
      </c>
      <c r="D11" s="38" t="s">
        <v>21</v>
      </c>
      <c r="E11" s="39" t="s">
        <v>98</v>
      </c>
      <c r="F11" s="27">
        <v>4609</v>
      </c>
      <c r="G11" s="27">
        <v>0</v>
      </c>
      <c r="H11" s="28">
        <f t="shared" si="0"/>
        <v>4609</v>
      </c>
      <c r="I11" s="28">
        <f t="shared" si="1"/>
        <v>0</v>
      </c>
      <c r="J11" s="25">
        <v>4609</v>
      </c>
      <c r="K11" s="29">
        <v>0</v>
      </c>
      <c r="L11" s="25">
        <v>0</v>
      </c>
      <c r="M11" s="27">
        <v>0</v>
      </c>
      <c r="N11" s="29">
        <v>0</v>
      </c>
      <c r="O11" s="30">
        <v>0</v>
      </c>
    </row>
    <row r="12" spans="1:16" x14ac:dyDescent="0.35">
      <c r="A12" s="46"/>
      <c r="C12" s="37" t="s">
        <v>14</v>
      </c>
      <c r="D12" s="38" t="s">
        <v>21</v>
      </c>
      <c r="E12" s="39" t="s">
        <v>98</v>
      </c>
      <c r="F12" s="27">
        <v>79158</v>
      </c>
      <c r="G12" s="27">
        <v>4728</v>
      </c>
      <c r="H12" s="28">
        <f t="shared" si="0"/>
        <v>74430</v>
      </c>
      <c r="I12" s="28">
        <f t="shared" si="1"/>
        <v>21847</v>
      </c>
      <c r="J12" s="25">
        <v>52583</v>
      </c>
      <c r="K12" s="29">
        <v>0</v>
      </c>
      <c r="L12" s="25">
        <v>0</v>
      </c>
      <c r="M12" s="27">
        <f>'16-03-2026'!J57</f>
        <v>804699</v>
      </c>
      <c r="N12" s="29">
        <v>0</v>
      </c>
      <c r="O12" s="30">
        <v>50589</v>
      </c>
    </row>
    <row r="13" spans="1:16" x14ac:dyDescent="0.35">
      <c r="A13" s="48"/>
      <c r="C13" s="40" t="s">
        <v>22</v>
      </c>
      <c r="D13" s="40"/>
      <c r="E13" s="40"/>
      <c r="F13" s="31">
        <f t="shared" ref="F13:O13" si="2">SUM(F5:F12)</f>
        <v>831207</v>
      </c>
      <c r="G13" s="31">
        <f t="shared" si="2"/>
        <v>9006</v>
      </c>
      <c r="H13" s="31">
        <f t="shared" si="2"/>
        <v>822201</v>
      </c>
      <c r="I13" s="31">
        <f t="shared" si="2"/>
        <v>443421</v>
      </c>
      <c r="J13" s="31">
        <f t="shared" si="2"/>
        <v>378780</v>
      </c>
      <c r="K13" s="31">
        <f t="shared" si="2"/>
        <v>624</v>
      </c>
      <c r="L13" s="31">
        <f t="shared" si="2"/>
        <v>1000</v>
      </c>
      <c r="M13" s="176">
        <f>SUM(M5:M12)</f>
        <v>9436166</v>
      </c>
      <c r="N13" s="31">
        <f t="shared" si="2"/>
        <v>0</v>
      </c>
      <c r="O13" s="31">
        <f t="shared" si="2"/>
        <v>298713</v>
      </c>
    </row>
    <row r="14" spans="1:16" x14ac:dyDescent="0.35">
      <c r="C14" s="37" t="s">
        <v>23</v>
      </c>
      <c r="D14" s="38" t="s">
        <v>24</v>
      </c>
      <c r="E14" s="39" t="s">
        <v>84</v>
      </c>
      <c r="F14" s="27">
        <v>166042</v>
      </c>
      <c r="G14" s="27">
        <v>7075</v>
      </c>
      <c r="H14" s="28">
        <f t="shared" ref="H14:H38" si="3">F14-G14</f>
        <v>158967</v>
      </c>
      <c r="I14" s="28">
        <f t="shared" ref="I14:I38" si="4">H14-J14</f>
        <v>68692</v>
      </c>
      <c r="J14" s="25">
        <v>90275</v>
      </c>
      <c r="K14" s="29">
        <v>0</v>
      </c>
      <c r="L14" s="25">
        <v>0</v>
      </c>
      <c r="M14" s="27">
        <f>'16-03-2026'!J61</f>
        <v>468674</v>
      </c>
      <c r="N14" s="29">
        <v>0</v>
      </c>
      <c r="O14" s="25">
        <v>35289</v>
      </c>
    </row>
    <row r="15" spans="1:16" x14ac:dyDescent="0.35">
      <c r="C15" s="37" t="s">
        <v>23</v>
      </c>
      <c r="D15" s="38" t="s">
        <v>25</v>
      </c>
      <c r="E15" s="39" t="s">
        <v>98</v>
      </c>
      <c r="F15" s="27">
        <v>70755</v>
      </c>
      <c r="G15" s="27">
        <v>2814</v>
      </c>
      <c r="H15" s="28">
        <f t="shared" si="3"/>
        <v>67941</v>
      </c>
      <c r="I15" s="28">
        <f t="shared" si="4"/>
        <v>4310</v>
      </c>
      <c r="J15" s="25">
        <v>63631</v>
      </c>
      <c r="K15" s="29">
        <v>0</v>
      </c>
      <c r="L15" s="25">
        <v>0</v>
      </c>
      <c r="M15" s="27">
        <f>'16-03-2026'!J62</f>
        <v>1783234</v>
      </c>
      <c r="N15" s="29">
        <v>0</v>
      </c>
      <c r="O15" s="25">
        <v>224800</v>
      </c>
    </row>
    <row r="16" spans="1:16" x14ac:dyDescent="0.35">
      <c r="C16" s="37" t="s">
        <v>23</v>
      </c>
      <c r="D16" s="38" t="s">
        <v>25</v>
      </c>
      <c r="E16" s="39" t="s">
        <v>95</v>
      </c>
      <c r="F16" s="27">
        <v>176696</v>
      </c>
      <c r="G16" s="27">
        <v>16293</v>
      </c>
      <c r="H16" s="28">
        <f t="shared" si="3"/>
        <v>160403</v>
      </c>
      <c r="I16" s="28">
        <f t="shared" si="4"/>
        <v>66645</v>
      </c>
      <c r="J16" s="25">
        <v>93758</v>
      </c>
      <c r="K16" s="29">
        <v>578</v>
      </c>
      <c r="L16" s="25">
        <v>0</v>
      </c>
      <c r="M16" s="27">
        <v>0</v>
      </c>
      <c r="N16" s="29">
        <v>0</v>
      </c>
      <c r="O16" s="25">
        <v>0</v>
      </c>
    </row>
    <row r="17" spans="3:15" x14ac:dyDescent="0.35">
      <c r="C17" s="37" t="s">
        <v>23</v>
      </c>
      <c r="D17" s="38" t="s">
        <v>25</v>
      </c>
      <c r="E17" s="39" t="s">
        <v>97</v>
      </c>
      <c r="F17" s="27">
        <v>6105</v>
      </c>
      <c r="G17" s="27">
        <v>0</v>
      </c>
      <c r="H17" s="28">
        <f t="shared" si="3"/>
        <v>6105</v>
      </c>
      <c r="I17" s="28">
        <f t="shared" si="4"/>
        <v>0</v>
      </c>
      <c r="J17" s="25">
        <v>6105</v>
      </c>
      <c r="K17" s="29">
        <v>0</v>
      </c>
      <c r="L17" s="25">
        <v>0</v>
      </c>
      <c r="M17" s="27">
        <v>0</v>
      </c>
      <c r="N17" s="29">
        <v>0</v>
      </c>
      <c r="O17" s="25">
        <v>0</v>
      </c>
    </row>
    <row r="18" spans="3:15" x14ac:dyDescent="0.35">
      <c r="C18" s="37" t="s">
        <v>23</v>
      </c>
      <c r="D18" s="38" t="s">
        <v>25</v>
      </c>
      <c r="E18" s="39" t="s">
        <v>85</v>
      </c>
      <c r="F18" s="27">
        <v>113613</v>
      </c>
      <c r="G18" s="27">
        <v>1297</v>
      </c>
      <c r="H18" s="28">
        <f t="shared" si="3"/>
        <v>112316</v>
      </c>
      <c r="I18" s="28">
        <f t="shared" si="4"/>
        <v>9360</v>
      </c>
      <c r="J18" s="25">
        <v>102956</v>
      </c>
      <c r="K18" s="29">
        <v>0</v>
      </c>
      <c r="L18" s="25">
        <v>0</v>
      </c>
      <c r="M18" s="27">
        <v>0</v>
      </c>
      <c r="N18" s="29">
        <v>0</v>
      </c>
      <c r="O18" s="25">
        <v>0</v>
      </c>
    </row>
    <row r="19" spans="3:15" x14ac:dyDescent="0.35">
      <c r="C19" s="37" t="s">
        <v>23</v>
      </c>
      <c r="D19" s="38" t="s">
        <v>26</v>
      </c>
      <c r="E19" s="39" t="s">
        <v>15</v>
      </c>
      <c r="F19" s="27">
        <v>27442</v>
      </c>
      <c r="G19" s="27">
        <v>0</v>
      </c>
      <c r="H19" s="28">
        <f t="shared" si="3"/>
        <v>27442</v>
      </c>
      <c r="I19" s="28">
        <f t="shared" si="4"/>
        <v>27442</v>
      </c>
      <c r="J19" s="25">
        <v>0</v>
      </c>
      <c r="K19" s="29">
        <v>0</v>
      </c>
      <c r="L19" s="25">
        <v>0</v>
      </c>
      <c r="M19" s="27">
        <f>'16-03-2026'!J63</f>
        <v>431773</v>
      </c>
      <c r="N19" s="29">
        <v>0</v>
      </c>
      <c r="O19" s="25">
        <v>80000</v>
      </c>
    </row>
    <row r="20" spans="3:15" x14ac:dyDescent="0.35">
      <c r="C20" s="37" t="s">
        <v>23</v>
      </c>
      <c r="D20" s="38" t="s">
        <v>20</v>
      </c>
      <c r="E20" s="39" t="s">
        <v>97</v>
      </c>
      <c r="F20" s="27">
        <v>0</v>
      </c>
      <c r="G20" s="27">
        <v>0</v>
      </c>
      <c r="H20" s="28">
        <f t="shared" si="3"/>
        <v>0</v>
      </c>
      <c r="I20" s="28">
        <f t="shared" si="4"/>
        <v>0</v>
      </c>
      <c r="J20" s="25">
        <v>0</v>
      </c>
      <c r="K20" s="29">
        <v>0</v>
      </c>
      <c r="L20" s="25">
        <v>0</v>
      </c>
      <c r="M20" s="27">
        <f>'16-03-2026'!J64</f>
        <v>8160</v>
      </c>
      <c r="N20" s="29">
        <v>0</v>
      </c>
      <c r="O20" s="25">
        <v>0</v>
      </c>
    </row>
    <row r="21" spans="3:15" x14ac:dyDescent="0.35">
      <c r="C21" s="37" t="s">
        <v>23</v>
      </c>
      <c r="D21" s="38" t="s">
        <v>18</v>
      </c>
      <c r="E21" s="39" t="s">
        <v>97</v>
      </c>
      <c r="F21" s="27">
        <v>0</v>
      </c>
      <c r="G21" s="27">
        <v>0</v>
      </c>
      <c r="H21" s="28">
        <f t="shared" si="3"/>
        <v>0</v>
      </c>
      <c r="I21" s="28">
        <f t="shared" si="4"/>
        <v>0</v>
      </c>
      <c r="J21" s="25">
        <v>0</v>
      </c>
      <c r="K21" s="29">
        <v>0</v>
      </c>
      <c r="L21" s="25">
        <v>0</v>
      </c>
      <c r="M21" s="27">
        <v>0</v>
      </c>
      <c r="N21" s="29">
        <v>0</v>
      </c>
      <c r="O21" s="25">
        <v>0</v>
      </c>
    </row>
    <row r="22" spans="3:15" x14ac:dyDescent="0.35">
      <c r="C22" s="37" t="s">
        <v>23</v>
      </c>
      <c r="D22" s="40"/>
      <c r="E22" s="40"/>
      <c r="F22" s="31">
        <f>SUM(F14:F21)</f>
        <v>560653</v>
      </c>
      <c r="G22" s="31">
        <f>SUM(G14:G21)</f>
        <v>27479</v>
      </c>
      <c r="H22" s="31">
        <f>SUM(H14:H20)</f>
        <v>533174</v>
      </c>
      <c r="I22" s="31">
        <f>SUM(I14:I20)</f>
        <v>176449</v>
      </c>
      <c r="J22" s="31">
        <f>SUM(J14:J21)</f>
        <v>356725</v>
      </c>
      <c r="K22" s="31">
        <f>SUM(K14:K20)</f>
        <v>578</v>
      </c>
      <c r="L22" s="31">
        <f>SUM(L14:L20)</f>
        <v>0</v>
      </c>
      <c r="M22" s="31">
        <f>SUM(M14:M21)</f>
        <v>2691841</v>
      </c>
      <c r="N22" s="31">
        <f>SUM(N14:N20)</f>
        <v>0</v>
      </c>
      <c r="O22" s="31">
        <f>SUM(O14:O21)</f>
        <v>340089</v>
      </c>
    </row>
    <row r="23" spans="3:15" x14ac:dyDescent="0.35">
      <c r="C23" s="37" t="s">
        <v>27</v>
      </c>
      <c r="D23" s="38" t="s">
        <v>25</v>
      </c>
      <c r="E23" s="39" t="s">
        <v>16</v>
      </c>
      <c r="F23" s="27">
        <v>0</v>
      </c>
      <c r="G23" s="27">
        <v>0</v>
      </c>
      <c r="H23" s="28">
        <f t="shared" si="3"/>
        <v>0</v>
      </c>
      <c r="I23" s="28">
        <f t="shared" si="4"/>
        <v>0</v>
      </c>
      <c r="J23" s="25">
        <v>0</v>
      </c>
      <c r="K23" s="29">
        <v>0</v>
      </c>
      <c r="L23" s="25">
        <v>0</v>
      </c>
      <c r="M23" s="27">
        <f>'16-03-2026'!J65</f>
        <v>51257</v>
      </c>
      <c r="N23" s="29">
        <v>0</v>
      </c>
      <c r="O23" s="25">
        <v>0</v>
      </c>
    </row>
    <row r="24" spans="3:15" x14ac:dyDescent="0.35">
      <c r="C24" s="40"/>
      <c r="D24" s="40"/>
      <c r="E24" s="40"/>
      <c r="F24" s="31">
        <f>SUM(F23)</f>
        <v>0</v>
      </c>
      <c r="G24" s="31">
        <f t="shared" ref="G24:O24" si="5">SUM(G23)</f>
        <v>0</v>
      </c>
      <c r="H24" s="31">
        <f t="shared" si="5"/>
        <v>0</v>
      </c>
      <c r="I24" s="31">
        <f t="shared" si="5"/>
        <v>0</v>
      </c>
      <c r="J24" s="31">
        <f t="shared" si="5"/>
        <v>0</v>
      </c>
      <c r="K24" s="31">
        <f t="shared" si="5"/>
        <v>0</v>
      </c>
      <c r="L24" s="31">
        <f t="shared" si="5"/>
        <v>0</v>
      </c>
      <c r="M24" s="31">
        <f>SUM(M23)</f>
        <v>51257</v>
      </c>
      <c r="N24" s="31">
        <f t="shared" si="5"/>
        <v>0</v>
      </c>
      <c r="O24" s="31">
        <f t="shared" si="5"/>
        <v>0</v>
      </c>
    </row>
    <row r="25" spans="3:15" x14ac:dyDescent="0.35">
      <c r="C25" s="37" t="s">
        <v>28</v>
      </c>
      <c r="D25" s="38" t="s">
        <v>29</v>
      </c>
      <c r="E25" s="39" t="s">
        <v>16</v>
      </c>
      <c r="F25" s="27">
        <v>0</v>
      </c>
      <c r="G25" s="27">
        <v>0</v>
      </c>
      <c r="H25" s="28">
        <f t="shared" si="3"/>
        <v>0</v>
      </c>
      <c r="I25" s="28">
        <f t="shared" si="4"/>
        <v>0</v>
      </c>
      <c r="J25" s="25">
        <v>0</v>
      </c>
      <c r="K25" s="29">
        <v>0</v>
      </c>
      <c r="L25" s="25">
        <v>0</v>
      </c>
      <c r="M25" s="27">
        <f>'16-03-2026'!J76</f>
        <v>33969</v>
      </c>
      <c r="N25" s="29">
        <v>0</v>
      </c>
      <c r="O25" s="25">
        <v>0</v>
      </c>
    </row>
    <row r="26" spans="3:15" x14ac:dyDescent="0.35">
      <c r="C26" s="37" t="s">
        <v>28</v>
      </c>
      <c r="D26" s="38" t="s">
        <v>25</v>
      </c>
      <c r="E26" s="39" t="s">
        <v>16</v>
      </c>
      <c r="F26" s="27">
        <v>0</v>
      </c>
      <c r="G26" s="27">
        <v>0</v>
      </c>
      <c r="H26" s="28">
        <f t="shared" si="3"/>
        <v>0</v>
      </c>
      <c r="I26" s="28">
        <f t="shared" si="4"/>
        <v>0</v>
      </c>
      <c r="J26" s="25">
        <v>0</v>
      </c>
      <c r="K26" s="29">
        <v>0</v>
      </c>
      <c r="L26" s="25">
        <v>0</v>
      </c>
      <c r="M26" s="27">
        <f>'16-03-2026'!J77</f>
        <v>151366</v>
      </c>
      <c r="N26" s="29">
        <v>0</v>
      </c>
      <c r="O26" s="25">
        <v>0</v>
      </c>
    </row>
    <row r="27" spans="3:15" x14ac:dyDescent="0.35">
      <c r="C27" s="40" t="s">
        <v>22</v>
      </c>
      <c r="D27" s="40"/>
      <c r="E27" s="40"/>
      <c r="F27" s="31">
        <f t="shared" ref="F27:L27" si="6">SUM(F25:F26)</f>
        <v>0</v>
      </c>
      <c r="G27" s="31">
        <f t="shared" si="6"/>
        <v>0</v>
      </c>
      <c r="H27" s="31">
        <f t="shared" si="6"/>
        <v>0</v>
      </c>
      <c r="I27" s="31">
        <f t="shared" si="6"/>
        <v>0</v>
      </c>
      <c r="J27" s="31">
        <f t="shared" si="6"/>
        <v>0</v>
      </c>
      <c r="K27" s="31">
        <f>SUM(K25:K26)</f>
        <v>0</v>
      </c>
      <c r="L27" s="31">
        <f t="shared" si="6"/>
        <v>0</v>
      </c>
      <c r="M27" s="31">
        <f>SUM(M25:M26)</f>
        <v>185335</v>
      </c>
      <c r="N27" s="31">
        <f t="shared" ref="N27:O27" si="7">SUM(N25:N26)</f>
        <v>0</v>
      </c>
      <c r="O27" s="31">
        <f t="shared" si="7"/>
        <v>0</v>
      </c>
    </row>
    <row r="28" spans="3:15" x14ac:dyDescent="0.35">
      <c r="C28" s="37" t="s">
        <v>30</v>
      </c>
      <c r="D28" s="38" t="s">
        <v>29</v>
      </c>
      <c r="E28" s="39" t="s">
        <v>16</v>
      </c>
      <c r="F28" s="32">
        <v>0</v>
      </c>
      <c r="G28" s="32">
        <v>0</v>
      </c>
      <c r="H28" s="28">
        <f t="shared" si="3"/>
        <v>0</v>
      </c>
      <c r="I28" s="28">
        <f t="shared" si="4"/>
        <v>0</v>
      </c>
      <c r="J28" s="33">
        <v>0</v>
      </c>
      <c r="K28" s="34">
        <v>0</v>
      </c>
      <c r="L28" s="33">
        <v>0</v>
      </c>
      <c r="M28" s="32">
        <f>'16-03-2026'!J80</f>
        <v>89658</v>
      </c>
      <c r="N28" s="34">
        <v>0</v>
      </c>
      <c r="O28" s="33">
        <v>0</v>
      </c>
    </row>
    <row r="29" spans="3:15" x14ac:dyDescent="0.35">
      <c r="C29" s="37" t="s">
        <v>30</v>
      </c>
      <c r="D29" s="38" t="s">
        <v>31</v>
      </c>
      <c r="E29" s="39" t="s">
        <v>16</v>
      </c>
      <c r="F29" s="32">
        <v>0</v>
      </c>
      <c r="G29" s="32">
        <v>0</v>
      </c>
      <c r="H29" s="28">
        <f t="shared" si="3"/>
        <v>0</v>
      </c>
      <c r="I29" s="28">
        <f t="shared" si="4"/>
        <v>0</v>
      </c>
      <c r="J29" s="33">
        <v>0</v>
      </c>
      <c r="K29" s="34">
        <v>0</v>
      </c>
      <c r="L29" s="33">
        <v>0</v>
      </c>
      <c r="M29" s="32">
        <f>'16-03-2026'!J81</f>
        <v>17000</v>
      </c>
      <c r="N29" s="34">
        <v>0</v>
      </c>
      <c r="O29" s="33">
        <v>0</v>
      </c>
    </row>
    <row r="30" spans="3:15" x14ac:dyDescent="0.35">
      <c r="C30" s="40" t="s">
        <v>22</v>
      </c>
      <c r="D30" s="40"/>
      <c r="E30" s="40"/>
      <c r="F30" s="31">
        <f>SUM(F28:F29)</f>
        <v>0</v>
      </c>
      <c r="G30" s="31">
        <f t="shared" ref="G30:O30" si="8">SUM(G28:G29)</f>
        <v>0</v>
      </c>
      <c r="H30" s="31">
        <f t="shared" si="8"/>
        <v>0</v>
      </c>
      <c r="I30" s="31">
        <f t="shared" si="8"/>
        <v>0</v>
      </c>
      <c r="J30" s="31">
        <f t="shared" si="8"/>
        <v>0</v>
      </c>
      <c r="K30" s="31">
        <f t="shared" si="8"/>
        <v>0</v>
      </c>
      <c r="L30" s="31">
        <f t="shared" si="8"/>
        <v>0</v>
      </c>
      <c r="M30" s="31">
        <f t="shared" si="8"/>
        <v>106658</v>
      </c>
      <c r="N30" s="31">
        <f t="shared" si="8"/>
        <v>0</v>
      </c>
      <c r="O30" s="31">
        <f t="shared" si="8"/>
        <v>0</v>
      </c>
    </row>
    <row r="31" spans="3:15" x14ac:dyDescent="0.35">
      <c r="C31" s="37" t="s">
        <v>32</v>
      </c>
      <c r="D31" s="38" t="s">
        <v>33</v>
      </c>
      <c r="E31" s="39" t="s">
        <v>98</v>
      </c>
      <c r="F31" s="35">
        <v>28071</v>
      </c>
      <c r="G31" s="27">
        <v>0</v>
      </c>
      <c r="H31" s="28">
        <f t="shared" si="3"/>
        <v>28071</v>
      </c>
      <c r="I31" s="28">
        <f t="shared" si="4"/>
        <v>26307</v>
      </c>
      <c r="J31" s="25">
        <v>1764</v>
      </c>
      <c r="K31" s="29">
        <v>0</v>
      </c>
      <c r="L31" s="25">
        <v>0</v>
      </c>
      <c r="M31" s="27">
        <f>'16-03-2026'!J68</f>
        <v>1645431</v>
      </c>
      <c r="N31" s="29">
        <v>0</v>
      </c>
      <c r="O31" s="25">
        <v>20868</v>
      </c>
    </row>
    <row r="32" spans="3:15" x14ac:dyDescent="0.35">
      <c r="C32" s="37" t="s">
        <v>32</v>
      </c>
      <c r="D32" s="38" t="s">
        <v>33</v>
      </c>
      <c r="E32" s="39" t="s">
        <v>97</v>
      </c>
      <c r="F32" s="35">
        <v>27830</v>
      </c>
      <c r="G32" s="27">
        <v>0</v>
      </c>
      <c r="H32" s="28">
        <f t="shared" si="3"/>
        <v>27830</v>
      </c>
      <c r="I32" s="28">
        <f t="shared" si="4"/>
        <v>24273</v>
      </c>
      <c r="J32" s="25">
        <v>3557</v>
      </c>
      <c r="K32" s="29">
        <v>0</v>
      </c>
      <c r="L32" s="25">
        <v>0</v>
      </c>
      <c r="M32" s="27">
        <v>0</v>
      </c>
      <c r="N32" s="29">
        <v>0</v>
      </c>
      <c r="O32" s="25">
        <v>0</v>
      </c>
    </row>
    <row r="33" spans="3:16" x14ac:dyDescent="0.35">
      <c r="C33" s="37" t="s">
        <v>32</v>
      </c>
      <c r="D33" s="38" t="s">
        <v>33</v>
      </c>
      <c r="E33" s="39" t="s">
        <v>85</v>
      </c>
      <c r="F33" s="35">
        <v>53462</v>
      </c>
      <c r="G33" s="27">
        <v>0</v>
      </c>
      <c r="H33" s="28">
        <f t="shared" si="3"/>
        <v>53462</v>
      </c>
      <c r="I33" s="28">
        <f t="shared" si="4"/>
        <v>44462</v>
      </c>
      <c r="J33" s="25">
        <v>9000</v>
      </c>
      <c r="K33" s="29">
        <v>0</v>
      </c>
      <c r="L33" s="25">
        <v>0</v>
      </c>
      <c r="M33" s="27">
        <v>0</v>
      </c>
      <c r="N33" s="29">
        <v>0</v>
      </c>
      <c r="O33" s="25">
        <v>0</v>
      </c>
    </row>
    <row r="34" spans="3:16" x14ac:dyDescent="0.35">
      <c r="C34" s="37" t="s">
        <v>32</v>
      </c>
      <c r="D34" s="38" t="s">
        <v>31</v>
      </c>
      <c r="E34" s="39" t="s">
        <v>16</v>
      </c>
      <c r="F34" s="35">
        <v>0</v>
      </c>
      <c r="G34" s="27">
        <v>0</v>
      </c>
      <c r="H34" s="28">
        <f t="shared" si="3"/>
        <v>0</v>
      </c>
      <c r="I34" s="28">
        <f t="shared" si="4"/>
        <v>0</v>
      </c>
      <c r="J34" s="25">
        <v>0</v>
      </c>
      <c r="K34" s="29">
        <v>0</v>
      </c>
      <c r="L34" s="25">
        <v>0</v>
      </c>
      <c r="M34" s="27">
        <f>'16-03-2026'!J69</f>
        <v>174473</v>
      </c>
      <c r="N34" s="29">
        <v>0</v>
      </c>
      <c r="O34" s="25">
        <v>0</v>
      </c>
    </row>
    <row r="35" spans="3:16" x14ac:dyDescent="0.35">
      <c r="C35" s="37" t="s">
        <v>32</v>
      </c>
      <c r="D35" s="38" t="s">
        <v>26</v>
      </c>
      <c r="E35" s="39" t="s">
        <v>16</v>
      </c>
      <c r="F35" s="35">
        <v>0</v>
      </c>
      <c r="G35" s="27">
        <v>0</v>
      </c>
      <c r="H35" s="28">
        <f t="shared" si="3"/>
        <v>0</v>
      </c>
      <c r="I35" s="28">
        <f t="shared" si="4"/>
        <v>0</v>
      </c>
      <c r="J35" s="25">
        <v>0</v>
      </c>
      <c r="K35" s="29">
        <v>0</v>
      </c>
      <c r="L35" s="25">
        <v>0</v>
      </c>
      <c r="M35" s="27">
        <f>'16-03-2026'!J70</f>
        <v>35126</v>
      </c>
      <c r="N35" s="29">
        <v>0</v>
      </c>
      <c r="O35" s="25">
        <v>0</v>
      </c>
    </row>
    <row r="36" spans="3:16" x14ac:dyDescent="0.35">
      <c r="C36" s="37" t="s">
        <v>32</v>
      </c>
      <c r="D36" s="38" t="s">
        <v>34</v>
      </c>
      <c r="E36" s="39" t="s">
        <v>86</v>
      </c>
      <c r="F36" s="35">
        <v>36769</v>
      </c>
      <c r="G36" s="27">
        <v>256</v>
      </c>
      <c r="H36" s="28">
        <f t="shared" si="3"/>
        <v>36513</v>
      </c>
      <c r="I36" s="28">
        <f t="shared" si="4"/>
        <v>35131</v>
      </c>
      <c r="J36" s="25">
        <v>1382</v>
      </c>
      <c r="K36" s="29">
        <v>0</v>
      </c>
      <c r="L36" s="25">
        <v>400</v>
      </c>
      <c r="M36" s="27">
        <f>'16-03-2026'!J71</f>
        <v>1481421</v>
      </c>
      <c r="N36" s="29">
        <v>0</v>
      </c>
      <c r="O36" s="25">
        <v>70250</v>
      </c>
    </row>
    <row r="37" spans="3:16" x14ac:dyDescent="0.35">
      <c r="C37" s="37" t="s">
        <v>32</v>
      </c>
      <c r="D37" s="38" t="s">
        <v>34</v>
      </c>
      <c r="E37" s="39" t="s">
        <v>93</v>
      </c>
      <c r="F37" s="35">
        <v>25865</v>
      </c>
      <c r="G37" s="27">
        <v>0</v>
      </c>
      <c r="H37" s="28">
        <f t="shared" si="3"/>
        <v>25865</v>
      </c>
      <c r="I37" s="28">
        <f t="shared" si="4"/>
        <v>25865</v>
      </c>
      <c r="J37" s="25">
        <v>0</v>
      </c>
      <c r="K37" s="29">
        <v>0</v>
      </c>
      <c r="L37" s="25">
        <v>0</v>
      </c>
      <c r="M37" s="27">
        <v>0</v>
      </c>
      <c r="N37" s="29">
        <v>0</v>
      </c>
      <c r="O37" s="25">
        <v>0</v>
      </c>
      <c r="P37" s="42">
        <v>0</v>
      </c>
    </row>
    <row r="38" spans="3:16" x14ac:dyDescent="0.35">
      <c r="C38" s="37" t="s">
        <v>32</v>
      </c>
      <c r="D38" s="38" t="s">
        <v>34</v>
      </c>
      <c r="E38" s="39" t="s">
        <v>50</v>
      </c>
      <c r="F38" s="35">
        <v>2947</v>
      </c>
      <c r="G38" s="27">
        <v>0</v>
      </c>
      <c r="H38" s="28">
        <f t="shared" si="3"/>
        <v>2947</v>
      </c>
      <c r="I38" s="28">
        <f t="shared" si="4"/>
        <v>2947</v>
      </c>
      <c r="J38" s="25">
        <v>0</v>
      </c>
      <c r="K38" s="29">
        <v>0</v>
      </c>
      <c r="L38" s="25">
        <v>0</v>
      </c>
      <c r="M38" s="27">
        <v>0</v>
      </c>
      <c r="N38" s="29">
        <v>0</v>
      </c>
      <c r="O38" s="25">
        <v>0</v>
      </c>
    </row>
    <row r="39" spans="3:16" x14ac:dyDescent="0.35">
      <c r="C39" s="40" t="s">
        <v>22</v>
      </c>
      <c r="D39" s="40"/>
      <c r="E39" s="40"/>
      <c r="F39" s="31">
        <f t="shared" ref="F39:G39" si="9">SUM(F31:F38)</f>
        <v>174944</v>
      </c>
      <c r="G39" s="31">
        <f t="shared" si="9"/>
        <v>256</v>
      </c>
      <c r="H39" s="31">
        <f t="shared" ref="H39" si="10">SUM(H31:H38)</f>
        <v>174688</v>
      </c>
      <c r="I39" s="31">
        <f t="shared" ref="I39:O39" si="11">SUM(I31:I38)</f>
        <v>158985</v>
      </c>
      <c r="J39" s="31">
        <f t="shared" si="11"/>
        <v>15703</v>
      </c>
      <c r="K39" s="31">
        <f t="shared" si="11"/>
        <v>0</v>
      </c>
      <c r="L39" s="31">
        <f t="shared" si="11"/>
        <v>400</v>
      </c>
      <c r="M39" s="31">
        <f t="shared" si="11"/>
        <v>3336451</v>
      </c>
      <c r="N39" s="31">
        <f t="shared" si="11"/>
        <v>0</v>
      </c>
      <c r="O39" s="31">
        <f t="shared" si="11"/>
        <v>91118</v>
      </c>
    </row>
    <row r="40" spans="3:16" x14ac:dyDescent="0.35">
      <c r="C40" s="41" t="s">
        <v>35</v>
      </c>
      <c r="D40" s="41"/>
      <c r="E40" s="41"/>
      <c r="F40" s="36">
        <f t="shared" ref="F40:O40" si="12">F39+F30+F27+F24+F22+F13</f>
        <v>1566804</v>
      </c>
      <c r="G40" s="36">
        <f t="shared" si="12"/>
        <v>36741</v>
      </c>
      <c r="H40" s="36">
        <f t="shared" si="12"/>
        <v>1530063</v>
      </c>
      <c r="I40" s="36">
        <f t="shared" si="12"/>
        <v>778855</v>
      </c>
      <c r="J40" s="36">
        <f t="shared" si="12"/>
        <v>751208</v>
      </c>
      <c r="K40" s="36">
        <f t="shared" si="12"/>
        <v>1202</v>
      </c>
      <c r="L40" s="36">
        <f t="shared" si="12"/>
        <v>1400</v>
      </c>
      <c r="M40" s="36">
        <f t="shared" si="12"/>
        <v>15807708</v>
      </c>
      <c r="N40" s="36">
        <f t="shared" si="12"/>
        <v>0</v>
      </c>
      <c r="O40" s="36">
        <f t="shared" si="12"/>
        <v>729920</v>
      </c>
    </row>
    <row r="41" spans="3:16" x14ac:dyDescent="0.35">
      <c r="F41" s="49" t="s">
        <v>36</v>
      </c>
      <c r="G41" s="25">
        <f>O13+L13+J13-K13</f>
        <v>677869</v>
      </c>
      <c r="H41" s="200"/>
      <c r="I41" s="201"/>
      <c r="J41" s="50"/>
      <c r="K41" s="51"/>
      <c r="L41" s="51"/>
    </row>
    <row r="42" spans="3:16" x14ac:dyDescent="0.35">
      <c r="F42" s="52" t="s">
        <v>37</v>
      </c>
      <c r="G42" s="25">
        <f>O22+L22+J22-K22+O24+L24+J24-K24</f>
        <v>696236</v>
      </c>
      <c r="H42" s="53"/>
      <c r="I42" s="54" t="s">
        <v>89</v>
      </c>
      <c r="J42" s="54" t="s">
        <v>90</v>
      </c>
      <c r="K42" s="192" t="s">
        <v>88</v>
      </c>
      <c r="L42" s="193"/>
      <c r="M42" s="202" t="s">
        <v>87</v>
      </c>
      <c r="N42" s="203"/>
      <c r="O42" s="204"/>
    </row>
    <row r="43" spans="3:16" x14ac:dyDescent="0.35">
      <c r="C43" s="205" t="s">
        <v>68</v>
      </c>
      <c r="D43" s="206"/>
      <c r="F43" s="55" t="s">
        <v>38</v>
      </c>
      <c r="G43" s="25">
        <f>O27+L27+J27-K27</f>
        <v>0</v>
      </c>
      <c r="H43" s="53"/>
      <c r="I43" s="54"/>
      <c r="J43" s="57"/>
      <c r="K43" s="192"/>
      <c r="L43" s="193"/>
      <c r="M43" s="59"/>
      <c r="N43" s="58"/>
      <c r="O43" s="60"/>
    </row>
    <row r="44" spans="3:16" x14ac:dyDescent="0.35">
      <c r="C44" s="61"/>
      <c r="D44" s="61"/>
      <c r="F44" s="62" t="s">
        <v>30</v>
      </c>
      <c r="G44" s="25">
        <f>O30+L30+J30-K30</f>
        <v>0</v>
      </c>
      <c r="H44" s="53"/>
      <c r="I44" s="56"/>
      <c r="J44" s="57"/>
      <c r="K44" s="192"/>
      <c r="L44" s="193"/>
      <c r="M44" s="59"/>
      <c r="N44" s="58"/>
      <c r="O44" s="60"/>
    </row>
    <row r="45" spans="3:16" x14ac:dyDescent="0.35">
      <c r="C45" s="61"/>
      <c r="D45" s="61"/>
      <c r="F45" s="49" t="s">
        <v>39</v>
      </c>
      <c r="G45" s="25">
        <f>O39+L39+J39-K39</f>
        <v>107221</v>
      </c>
      <c r="H45" s="53"/>
      <c r="I45" s="56"/>
      <c r="J45" s="57"/>
      <c r="K45" s="192"/>
      <c r="L45" s="193"/>
      <c r="M45" s="59"/>
      <c r="N45" s="58"/>
      <c r="O45" s="60"/>
    </row>
    <row r="46" spans="3:16" x14ac:dyDescent="0.35">
      <c r="C46" s="61"/>
      <c r="D46" s="61"/>
      <c r="F46" s="63" t="s">
        <v>40</v>
      </c>
      <c r="G46" s="26">
        <f>SUM(G41:G45)</f>
        <v>1481326</v>
      </c>
      <c r="I46" s="61"/>
      <c r="J46" s="57"/>
      <c r="K46" s="192"/>
      <c r="L46" s="193"/>
      <c r="M46" s="59"/>
      <c r="N46" s="58"/>
      <c r="O46" s="60"/>
    </row>
    <row r="47" spans="3:16" x14ac:dyDescent="0.35">
      <c r="C47" s="61"/>
      <c r="D47" s="61"/>
      <c r="F47" s="64"/>
      <c r="G47" s="65"/>
      <c r="I47" s="61"/>
      <c r="J47" s="57"/>
      <c r="K47" s="192"/>
      <c r="L47" s="193"/>
      <c r="M47" s="59"/>
      <c r="N47" s="58"/>
      <c r="O47" s="60"/>
    </row>
    <row r="48" spans="3:16" x14ac:dyDescent="0.35">
      <c r="C48" s="61"/>
      <c r="D48" s="61"/>
      <c r="F48" s="64"/>
      <c r="G48" s="65"/>
      <c r="I48" s="61"/>
      <c r="J48" s="57"/>
      <c r="K48" s="58"/>
      <c r="L48" s="58"/>
      <c r="M48" s="59"/>
      <c r="N48" s="58"/>
      <c r="O48" s="60"/>
    </row>
    <row r="49" spans="3:15" x14ac:dyDescent="0.35">
      <c r="C49" s="61"/>
      <c r="D49" s="61"/>
      <c r="F49" s="64"/>
      <c r="G49" s="65"/>
      <c r="I49" s="61"/>
      <c r="J49" s="57"/>
      <c r="K49" s="58"/>
      <c r="L49" s="58"/>
      <c r="M49" s="59"/>
      <c r="N49" s="58"/>
      <c r="O49" s="60"/>
    </row>
    <row r="50" spans="3:15" x14ac:dyDescent="0.35">
      <c r="C50" s="61"/>
      <c r="D50" s="61"/>
      <c r="F50" s="64"/>
      <c r="G50" s="65"/>
      <c r="I50" s="61"/>
      <c r="J50" s="57"/>
      <c r="K50" s="58"/>
      <c r="L50" s="58"/>
      <c r="M50" s="59"/>
      <c r="N50" s="58"/>
      <c r="O50" s="60"/>
    </row>
    <row r="51" spans="3:15" x14ac:dyDescent="0.35">
      <c r="C51" s="61"/>
      <c r="D51" s="61"/>
      <c r="F51" s="64"/>
      <c r="G51" s="65"/>
      <c r="I51" s="61"/>
      <c r="J51" s="57"/>
      <c r="K51" s="191"/>
      <c r="L51" s="193"/>
      <c r="M51" s="191"/>
      <c r="N51" s="192"/>
      <c r="O51" s="193"/>
    </row>
    <row r="52" spans="3:15" x14ac:dyDescent="0.35">
      <c r="C52" s="61"/>
      <c r="D52" s="61"/>
      <c r="F52" s="64"/>
      <c r="G52" s="65"/>
      <c r="I52" s="61"/>
      <c r="J52" s="54"/>
      <c r="K52" s="191"/>
      <c r="L52" s="193"/>
      <c r="M52" s="191"/>
      <c r="N52" s="192"/>
      <c r="O52" s="193"/>
    </row>
    <row r="53" spans="3:15" x14ac:dyDescent="0.35">
      <c r="C53" s="61"/>
      <c r="D53" s="61"/>
      <c r="F53" s="64"/>
      <c r="G53" s="65"/>
      <c r="I53" s="61"/>
      <c r="J53" s="54"/>
      <c r="K53" s="191"/>
      <c r="L53" s="193"/>
      <c r="M53" s="191"/>
      <c r="N53" s="192"/>
      <c r="O53" s="193"/>
    </row>
    <row r="54" spans="3:15" x14ac:dyDescent="0.35">
      <c r="C54" s="61"/>
      <c r="D54" s="61"/>
      <c r="F54" s="64"/>
      <c r="G54" s="65"/>
      <c r="I54" s="61"/>
      <c r="J54" s="54"/>
      <c r="K54" s="191"/>
      <c r="L54" s="193"/>
      <c r="M54" s="191"/>
      <c r="N54" s="192"/>
      <c r="O54" s="193"/>
    </row>
    <row r="55" spans="3:15" x14ac:dyDescent="0.35">
      <c r="C55" s="61"/>
      <c r="D55" s="61"/>
      <c r="F55" s="64"/>
      <c r="G55" s="65"/>
      <c r="I55" s="61"/>
      <c r="J55" s="54"/>
      <c r="K55" s="191"/>
      <c r="L55" s="193"/>
      <c r="M55" s="191"/>
      <c r="N55" s="192"/>
      <c r="O55" s="193"/>
    </row>
    <row r="56" spans="3:15" x14ac:dyDescent="0.35">
      <c r="H56" s="209" t="s">
        <v>41</v>
      </c>
      <c r="I56" s="209"/>
      <c r="J56" s="209"/>
      <c r="K56" s="210"/>
      <c r="L56" s="46"/>
      <c r="M56" s="66"/>
    </row>
    <row r="57" spans="3:15" x14ac:dyDescent="0.35">
      <c r="H57" s="67" t="s">
        <v>42</v>
      </c>
      <c r="I57" s="67" t="s">
        <v>43</v>
      </c>
      <c r="J57" s="67" t="s">
        <v>44</v>
      </c>
      <c r="K57" s="210"/>
      <c r="L57" s="66"/>
    </row>
    <row r="58" spans="3:15" x14ac:dyDescent="0.35">
      <c r="F58" s="68"/>
      <c r="H58" s="42" t="s">
        <v>14</v>
      </c>
      <c r="I58" s="42" t="s">
        <v>15</v>
      </c>
      <c r="J58" s="68">
        <f>M5-O5-N5-L5+I5+I6</f>
        <v>361358</v>
      </c>
      <c r="K58" s="69">
        <v>321167</v>
      </c>
      <c r="L58" s="70">
        <f>J58-K58</f>
        <v>40191</v>
      </c>
      <c r="M58" s="68"/>
    </row>
    <row r="59" spans="3:15" x14ac:dyDescent="0.35">
      <c r="C59" s="211">
        <v>45931</v>
      </c>
      <c r="D59" s="211"/>
      <c r="E59" s="211"/>
      <c r="H59" s="42" t="s">
        <v>14</v>
      </c>
      <c r="I59" s="42" t="s">
        <v>17</v>
      </c>
      <c r="J59" s="68">
        <f>M7-O7-N7-L7+I7+G59</f>
        <v>3659204</v>
      </c>
      <c r="K59" s="69">
        <v>3674204</v>
      </c>
      <c r="L59" s="70">
        <f t="shared" ref="L59:L70" si="13">J59-K59</f>
        <v>-15000</v>
      </c>
      <c r="M59" s="68"/>
    </row>
    <row r="60" spans="3:15" x14ac:dyDescent="0.35">
      <c r="C60" s="212" t="s">
        <v>63</v>
      </c>
      <c r="D60" s="212"/>
      <c r="E60" s="212"/>
      <c r="H60" s="42" t="s">
        <v>14</v>
      </c>
      <c r="I60" s="42" t="s">
        <v>18</v>
      </c>
      <c r="J60" s="68">
        <f>M8-O8-N8-L8+I8+G60</f>
        <v>1908925</v>
      </c>
      <c r="K60" s="69">
        <v>1885991</v>
      </c>
      <c r="L60" s="70">
        <f t="shared" si="13"/>
        <v>22934</v>
      </c>
      <c r="M60" s="68"/>
    </row>
    <row r="61" spans="3:15" x14ac:dyDescent="0.35">
      <c r="C61" s="61" t="s">
        <v>64</v>
      </c>
      <c r="D61" s="213">
        <f>'Opening Balance FEB 2026'!J4</f>
        <v>1308640</v>
      </c>
      <c r="E61" s="214"/>
      <c r="H61" s="42" t="s">
        <v>14</v>
      </c>
      <c r="I61" s="42" t="s">
        <v>19</v>
      </c>
      <c r="J61" s="68">
        <f>M9-O9-N9-L9+I9+G61</f>
        <v>1413630</v>
      </c>
      <c r="K61" s="69">
        <v>1367441</v>
      </c>
      <c r="L61" s="70">
        <f t="shared" si="13"/>
        <v>46189</v>
      </c>
      <c r="M61" s="68"/>
    </row>
    <row r="62" spans="3:15" x14ac:dyDescent="0.35">
      <c r="C62" s="61" t="s">
        <v>65</v>
      </c>
      <c r="D62" s="213">
        <f>G46</f>
        <v>1481326</v>
      </c>
      <c r="E62" s="214"/>
      <c r="H62" s="42" t="s">
        <v>14</v>
      </c>
      <c r="I62" s="42" t="s">
        <v>20</v>
      </c>
      <c r="J62" s="68">
        <f>M10-O10-N10-L10+I10+G62</f>
        <v>1460800</v>
      </c>
      <c r="K62" s="69">
        <v>1382664</v>
      </c>
      <c r="L62" s="70">
        <f t="shared" si="13"/>
        <v>78136</v>
      </c>
      <c r="M62" s="68"/>
    </row>
    <row r="63" spans="3:15" x14ac:dyDescent="0.35">
      <c r="C63" s="71" t="s">
        <v>45</v>
      </c>
      <c r="D63" s="215">
        <f>D61+D62</f>
        <v>2789966</v>
      </c>
      <c r="E63" s="216"/>
      <c r="H63" s="42" t="s">
        <v>14</v>
      </c>
      <c r="I63" s="42" t="s">
        <v>21</v>
      </c>
      <c r="J63" s="68">
        <f>M12-O12-N12-L12+I12+G63</f>
        <v>775957</v>
      </c>
      <c r="K63" s="69">
        <v>804699</v>
      </c>
      <c r="L63" s="70">
        <f t="shared" si="13"/>
        <v>-28742</v>
      </c>
    </row>
    <row r="64" spans="3:15" x14ac:dyDescent="0.35">
      <c r="C64" s="61" t="s">
        <v>66</v>
      </c>
      <c r="D64" s="207">
        <v>0</v>
      </c>
      <c r="E64" s="208"/>
      <c r="H64" s="72" t="s">
        <v>45</v>
      </c>
      <c r="I64" s="72"/>
      <c r="J64" s="73">
        <f>SUM(J58:J63)</f>
        <v>9579874</v>
      </c>
      <c r="K64" s="74">
        <v>9579874</v>
      </c>
      <c r="L64" s="70">
        <f t="shared" si="13"/>
        <v>0</v>
      </c>
    </row>
    <row r="65" spans="3:14" x14ac:dyDescent="0.35">
      <c r="C65" s="61" t="s">
        <v>78</v>
      </c>
      <c r="D65" s="207">
        <v>0</v>
      </c>
      <c r="E65" s="208"/>
      <c r="H65" s="72"/>
      <c r="I65" s="72"/>
      <c r="J65" s="73"/>
      <c r="K65" s="75"/>
      <c r="L65" s="70"/>
    </row>
    <row r="66" spans="3:14" x14ac:dyDescent="0.35">
      <c r="C66" s="61" t="s">
        <v>75</v>
      </c>
      <c r="D66" s="207">
        <v>10000</v>
      </c>
      <c r="E66" s="208"/>
      <c r="H66" s="67" t="s">
        <v>42</v>
      </c>
      <c r="I66" s="67" t="s">
        <v>43</v>
      </c>
      <c r="J66" s="67" t="s">
        <v>44</v>
      </c>
      <c r="K66" s="66"/>
      <c r="L66" s="70"/>
    </row>
    <row r="67" spans="3:14" x14ac:dyDescent="0.35">
      <c r="C67" s="76" t="s">
        <v>83</v>
      </c>
      <c r="D67" s="217">
        <f>SUM(D64:E66)</f>
        <v>10000</v>
      </c>
      <c r="E67" s="218"/>
      <c r="H67" s="42" t="s">
        <v>46</v>
      </c>
      <c r="I67" s="42" t="s">
        <v>48</v>
      </c>
      <c r="J67" s="68">
        <f>M14-O14-N14-L14+I14</f>
        <v>502077</v>
      </c>
      <c r="K67" s="69">
        <v>468674</v>
      </c>
      <c r="L67" s="70">
        <f t="shared" si="13"/>
        <v>33403</v>
      </c>
    </row>
    <row r="68" spans="3:14" x14ac:dyDescent="0.35">
      <c r="C68" s="77" t="s">
        <v>67</v>
      </c>
      <c r="D68" s="219">
        <f>D63-D64-D66-D65</f>
        <v>2779966</v>
      </c>
      <c r="E68" s="220"/>
      <c r="H68" s="42" t="s">
        <v>46</v>
      </c>
      <c r="I68" s="42" t="s">
        <v>47</v>
      </c>
      <c r="J68" s="68">
        <f>M15-O15-N15-L15+I15+I16+I18</f>
        <v>1638749</v>
      </c>
      <c r="K68" s="69">
        <v>1828234</v>
      </c>
      <c r="L68" s="70">
        <f t="shared" si="13"/>
        <v>-189485</v>
      </c>
      <c r="N68" s="68"/>
    </row>
    <row r="69" spans="3:14" x14ac:dyDescent="0.35">
      <c r="C69" s="78" t="s">
        <v>68</v>
      </c>
      <c r="D69" s="221"/>
      <c r="E69" s="222"/>
      <c r="H69" s="42" t="s">
        <v>46</v>
      </c>
      <c r="I69" s="42" t="s">
        <v>15</v>
      </c>
      <c r="J69" s="68">
        <f>M19-O19-N19-L19+I19</f>
        <v>379215</v>
      </c>
      <c r="K69" s="69">
        <v>431773</v>
      </c>
      <c r="L69" s="70">
        <f t="shared" si="13"/>
        <v>-52558</v>
      </c>
      <c r="M69" s="68"/>
      <c r="N69" s="68"/>
    </row>
    <row r="70" spans="3:14" x14ac:dyDescent="0.35">
      <c r="C70" s="61" t="s">
        <v>14</v>
      </c>
      <c r="D70" s="213">
        <v>0</v>
      </c>
      <c r="E70" s="214"/>
      <c r="H70" s="42" t="s">
        <v>46</v>
      </c>
      <c r="I70" s="42" t="s">
        <v>20</v>
      </c>
      <c r="J70" s="68">
        <v>8160</v>
      </c>
      <c r="K70" s="69">
        <v>8160</v>
      </c>
      <c r="L70" s="70">
        <f t="shared" si="13"/>
        <v>0</v>
      </c>
    </row>
    <row r="71" spans="3:14" x14ac:dyDescent="0.35">
      <c r="C71" s="61" t="s">
        <v>72</v>
      </c>
      <c r="D71" s="213">
        <v>0</v>
      </c>
      <c r="E71" s="214"/>
      <c r="H71" s="42" t="s">
        <v>27</v>
      </c>
      <c r="I71" s="42" t="s">
        <v>47</v>
      </c>
      <c r="J71" s="68">
        <f>M23-O23-N23-L23+I23</f>
        <v>51257</v>
      </c>
      <c r="K71" s="69">
        <v>51257</v>
      </c>
      <c r="L71" s="70">
        <f>J71-K71</f>
        <v>0</v>
      </c>
    </row>
    <row r="72" spans="3:14" x14ac:dyDescent="0.35">
      <c r="C72" s="61" t="s">
        <v>69</v>
      </c>
      <c r="D72" s="213">
        <v>0</v>
      </c>
      <c r="E72" s="214"/>
      <c r="H72" s="72" t="s">
        <v>45</v>
      </c>
      <c r="I72" s="72"/>
      <c r="J72" s="73">
        <f>SUM(J67:J71)</f>
        <v>2579458</v>
      </c>
      <c r="K72" s="69">
        <f>SUM(K67:K71)</f>
        <v>2788098</v>
      </c>
      <c r="L72" s="70">
        <f>J72-K72</f>
        <v>-208640</v>
      </c>
    </row>
    <row r="73" spans="3:14" x14ac:dyDescent="0.35">
      <c r="C73" s="61" t="s">
        <v>70</v>
      </c>
      <c r="D73" s="213">
        <v>0</v>
      </c>
      <c r="E73" s="214"/>
      <c r="F73" s="68"/>
      <c r="H73" s="67" t="s">
        <v>42</v>
      </c>
      <c r="I73" s="67" t="s">
        <v>43</v>
      </c>
      <c r="J73" s="67" t="s">
        <v>44</v>
      </c>
    </row>
    <row r="74" spans="3:14" x14ac:dyDescent="0.35">
      <c r="C74" s="61" t="s">
        <v>71</v>
      </c>
      <c r="D74" s="213">
        <v>0</v>
      </c>
      <c r="E74" s="214"/>
      <c r="F74" s="79"/>
      <c r="G74" s="80"/>
      <c r="H74" s="42" t="s">
        <v>49</v>
      </c>
      <c r="I74" s="42" t="s">
        <v>51</v>
      </c>
      <c r="J74" s="68">
        <f>M31-O31-N31-L31+I31+I32+I33</f>
        <v>1719605</v>
      </c>
      <c r="K74" s="69">
        <v>1719605</v>
      </c>
      <c r="L74" s="70">
        <f t="shared" ref="L74:L80" si="14">J74-K74</f>
        <v>0</v>
      </c>
      <c r="N74" s="68"/>
    </row>
    <row r="75" spans="3:14" x14ac:dyDescent="0.35">
      <c r="C75" s="77" t="s">
        <v>73</v>
      </c>
      <c r="D75" s="219">
        <f>SUM(D70:D74)</f>
        <v>0</v>
      </c>
      <c r="E75" s="220"/>
      <c r="F75" s="68"/>
      <c r="H75" s="42" t="s">
        <v>49</v>
      </c>
      <c r="I75" s="42" t="s">
        <v>18</v>
      </c>
      <c r="J75" s="68">
        <f>M34-O34-N34-L34+I34</f>
        <v>174473</v>
      </c>
      <c r="K75" s="69">
        <v>174473</v>
      </c>
      <c r="L75" s="70">
        <f t="shared" si="14"/>
        <v>0</v>
      </c>
    </row>
    <row r="76" spans="3:14" x14ac:dyDescent="0.35">
      <c r="C76" s="81" t="s">
        <v>74</v>
      </c>
      <c r="D76" s="223">
        <f>D68-D75</f>
        <v>2779966</v>
      </c>
      <c r="E76" s="224"/>
      <c r="F76" s="68"/>
      <c r="H76" s="42" t="s">
        <v>49</v>
      </c>
      <c r="I76" s="42" t="s">
        <v>15</v>
      </c>
      <c r="J76" s="68">
        <f>M35-O35-N35-L35+I35</f>
        <v>35126</v>
      </c>
      <c r="K76" s="69">
        <v>35126</v>
      </c>
      <c r="L76" s="70">
        <f t="shared" si="14"/>
        <v>0</v>
      </c>
    </row>
    <row r="77" spans="3:14" x14ac:dyDescent="0.35">
      <c r="C77" s="61"/>
      <c r="D77" s="213">
        <v>3102990</v>
      </c>
      <c r="E77" s="214"/>
      <c r="H77" s="42" t="s">
        <v>49</v>
      </c>
      <c r="I77" s="42" t="s">
        <v>50</v>
      </c>
      <c r="J77" s="68">
        <f>M36-O36-N36-L36+I36+I37+I38</f>
        <v>1474714</v>
      </c>
      <c r="K77" s="82">
        <v>1474714</v>
      </c>
      <c r="L77" s="70">
        <f t="shared" si="14"/>
        <v>0</v>
      </c>
    </row>
    <row r="78" spans="3:14" x14ac:dyDescent="0.35">
      <c r="C78" s="61"/>
      <c r="D78" s="213">
        <f>D76-D77</f>
        <v>-323024</v>
      </c>
      <c r="E78" s="214"/>
      <c r="H78" s="42" t="s">
        <v>49</v>
      </c>
      <c r="I78" s="42" t="s">
        <v>20</v>
      </c>
      <c r="J78" s="68">
        <f>'Opening Balance FEB 2026'!F24</f>
        <v>66046</v>
      </c>
      <c r="K78" s="69">
        <v>66046</v>
      </c>
      <c r="L78" s="70">
        <f t="shared" si="14"/>
        <v>0</v>
      </c>
    </row>
    <row r="79" spans="3:14" x14ac:dyDescent="0.35">
      <c r="H79" s="42" t="s">
        <v>49</v>
      </c>
      <c r="I79" s="42" t="s">
        <v>47</v>
      </c>
      <c r="J79" s="68">
        <f>'Opening Balance FEB 2026'!F25</f>
        <v>23570</v>
      </c>
      <c r="K79" s="69">
        <v>23570</v>
      </c>
      <c r="L79" s="70">
        <f t="shared" si="14"/>
        <v>0</v>
      </c>
    </row>
    <row r="80" spans="3:14" x14ac:dyDescent="0.35">
      <c r="H80" s="72" t="s">
        <v>45</v>
      </c>
      <c r="I80" s="72"/>
      <c r="J80" s="73">
        <f>SUM(J74:J79)</f>
        <v>3493534</v>
      </c>
      <c r="K80" s="69">
        <v>3488534</v>
      </c>
      <c r="L80" s="70">
        <f t="shared" si="14"/>
        <v>5000</v>
      </c>
      <c r="N80" s="68"/>
    </row>
    <row r="81" spans="7:12" x14ac:dyDescent="0.35">
      <c r="H81" s="67" t="s">
        <v>42</v>
      </c>
      <c r="I81" s="67" t="s">
        <v>43</v>
      </c>
      <c r="J81" s="67" t="s">
        <v>44</v>
      </c>
    </row>
    <row r="82" spans="7:12" x14ac:dyDescent="0.35">
      <c r="H82" s="42" t="s">
        <v>52</v>
      </c>
      <c r="I82" s="42" t="s">
        <v>53</v>
      </c>
      <c r="J82" s="68">
        <f>M25-O25-N25-L25+I25-G81</f>
        <v>33969</v>
      </c>
      <c r="K82" s="68">
        <v>33969</v>
      </c>
      <c r="L82" s="70">
        <f>J82-K82</f>
        <v>0</v>
      </c>
    </row>
    <row r="83" spans="7:12" x14ac:dyDescent="0.35">
      <c r="H83" s="42" t="s">
        <v>52</v>
      </c>
      <c r="I83" s="42" t="s">
        <v>47</v>
      </c>
      <c r="J83" s="68">
        <f>M26-O26-N26-L26+I26</f>
        <v>151366</v>
      </c>
      <c r="K83" s="82">
        <v>151366</v>
      </c>
      <c r="L83" s="70">
        <f>J83-K83</f>
        <v>0</v>
      </c>
    </row>
    <row r="84" spans="7:12" x14ac:dyDescent="0.35">
      <c r="H84" s="72" t="s">
        <v>45</v>
      </c>
      <c r="I84" s="72"/>
      <c r="J84" s="73">
        <f>SUM(J82:J83)</f>
        <v>185335</v>
      </c>
      <c r="K84" s="68">
        <v>160846</v>
      </c>
      <c r="L84" s="70">
        <f>J84-K84</f>
        <v>24489</v>
      </c>
    </row>
    <row r="85" spans="7:12" x14ac:dyDescent="0.35">
      <c r="G85" s="42">
        <v>0</v>
      </c>
      <c r="H85" s="67" t="s">
        <v>42</v>
      </c>
      <c r="I85" s="67" t="s">
        <v>43</v>
      </c>
      <c r="J85" s="67" t="s">
        <v>44</v>
      </c>
      <c r="K85" s="69">
        <v>0</v>
      </c>
      <c r="L85" s="70"/>
    </row>
    <row r="86" spans="7:12" x14ac:dyDescent="0.35">
      <c r="H86" s="42" t="s">
        <v>54</v>
      </c>
      <c r="I86" s="42" t="s">
        <v>53</v>
      </c>
      <c r="J86" s="68">
        <f>M28-O28-N28-L28+I28-G85</f>
        <v>89658</v>
      </c>
      <c r="K86" s="69">
        <v>89658</v>
      </c>
      <c r="L86" s="70">
        <f>J86-K86</f>
        <v>0</v>
      </c>
    </row>
    <row r="87" spans="7:12" x14ac:dyDescent="0.35">
      <c r="H87" s="42" t="s">
        <v>54</v>
      </c>
      <c r="I87" s="42" t="s">
        <v>18</v>
      </c>
      <c r="J87" s="68">
        <f>M29-O29-N29-L29+I29</f>
        <v>17000</v>
      </c>
      <c r="K87" s="69">
        <v>67000</v>
      </c>
      <c r="L87" s="70">
        <f>J87-K87</f>
        <v>-50000</v>
      </c>
    </row>
    <row r="88" spans="7:12" x14ac:dyDescent="0.35">
      <c r="H88" s="72" t="s">
        <v>45</v>
      </c>
      <c r="I88" s="72"/>
      <c r="J88" s="73">
        <f>SUM(J86:J87)</f>
        <v>106658</v>
      </c>
      <c r="K88" s="68">
        <f>SUM(K85:K87)</f>
        <v>156658</v>
      </c>
      <c r="L88" s="70">
        <f>J88-K88</f>
        <v>-50000</v>
      </c>
    </row>
    <row r="89" spans="7:12" x14ac:dyDescent="0.35">
      <c r="H89" s="67" t="s">
        <v>42</v>
      </c>
      <c r="I89" s="67" t="s">
        <v>43</v>
      </c>
      <c r="J89" s="67" t="s">
        <v>44</v>
      </c>
      <c r="K89" s="69">
        <v>0</v>
      </c>
      <c r="L89" s="70"/>
    </row>
    <row r="90" spans="7:12" x14ac:dyDescent="0.35">
      <c r="H90" s="42" t="s">
        <v>55</v>
      </c>
      <c r="I90" s="42" t="s">
        <v>56</v>
      </c>
      <c r="J90" s="68">
        <f>'Opening Balance FEB 2026'!F36</f>
        <v>103541</v>
      </c>
      <c r="K90" s="69">
        <v>103541</v>
      </c>
      <c r="L90" s="70">
        <f>J90-K90</f>
        <v>0</v>
      </c>
    </row>
    <row r="91" spans="7:12" x14ac:dyDescent="0.35">
      <c r="H91" s="42" t="s">
        <v>55</v>
      </c>
      <c r="I91" s="42" t="s">
        <v>47</v>
      </c>
      <c r="J91" s="68">
        <f>'Opening Balance FEB 2026'!F37</f>
        <v>6013</v>
      </c>
      <c r="K91" s="69">
        <v>6013</v>
      </c>
      <c r="L91" s="70">
        <f>J91-K91</f>
        <v>0</v>
      </c>
    </row>
    <row r="92" spans="7:12" x14ac:dyDescent="0.35">
      <c r="H92" s="72" t="s">
        <v>45</v>
      </c>
      <c r="I92" s="72"/>
      <c r="J92" s="73">
        <v>109554</v>
      </c>
      <c r="K92" s="68">
        <f>SUM(K89:K91)</f>
        <v>109554</v>
      </c>
      <c r="L92" s="70">
        <f>J92-K92</f>
        <v>0</v>
      </c>
    </row>
    <row r="93" spans="7:12" x14ac:dyDescent="0.35">
      <c r="H93" s="67" t="s">
        <v>42</v>
      </c>
      <c r="I93" s="67" t="s">
        <v>43</v>
      </c>
      <c r="J93" s="67" t="s">
        <v>44</v>
      </c>
      <c r="K93" s="69">
        <v>0</v>
      </c>
      <c r="L93" s="70"/>
    </row>
    <row r="94" spans="7:12" x14ac:dyDescent="0.35">
      <c r="H94" s="42" t="s">
        <v>57</v>
      </c>
      <c r="I94" s="42" t="s">
        <v>47</v>
      </c>
      <c r="J94" s="68">
        <f>'Opening Balance FEB 2026'!F40</f>
        <v>16440</v>
      </c>
      <c r="K94" s="69">
        <v>16440</v>
      </c>
      <c r="L94" s="70">
        <f>J94-K94</f>
        <v>0</v>
      </c>
    </row>
    <row r="95" spans="7:12" x14ac:dyDescent="0.35">
      <c r="H95" s="72" t="s">
        <v>45</v>
      </c>
      <c r="I95" s="72"/>
      <c r="J95" s="73">
        <v>16440</v>
      </c>
      <c r="K95" s="69">
        <f>SUM(K93:K94)</f>
        <v>16440</v>
      </c>
    </row>
    <row r="96" spans="7:12" x14ac:dyDescent="0.35">
      <c r="J96" s="68"/>
    </row>
    <row r="97" spans="4:10" x14ac:dyDescent="0.35">
      <c r="H97" s="83" t="s">
        <v>58</v>
      </c>
      <c r="I97" s="83"/>
      <c r="J97" s="84">
        <f>J95+J92+J88+J84+J80+J72+J64</f>
        <v>16070853</v>
      </c>
    </row>
    <row r="99" spans="4:10" x14ac:dyDescent="0.35">
      <c r="D99" s="85" t="s">
        <v>82</v>
      </c>
      <c r="E99" s="85"/>
      <c r="F99" s="85"/>
      <c r="G99" s="85"/>
      <c r="H99" s="85"/>
    </row>
    <row r="100" spans="4:10" x14ac:dyDescent="0.35">
      <c r="D100" s="78" t="s">
        <v>42</v>
      </c>
      <c r="E100" s="78" t="s">
        <v>43</v>
      </c>
      <c r="F100" s="78" t="s">
        <v>79</v>
      </c>
      <c r="G100" s="78" t="s">
        <v>80</v>
      </c>
      <c r="H100" s="78" t="s">
        <v>81</v>
      </c>
    </row>
    <row r="101" spans="4:10" x14ac:dyDescent="0.35">
      <c r="D101" s="61" t="s">
        <v>14</v>
      </c>
      <c r="E101" s="61" t="s">
        <v>15</v>
      </c>
      <c r="F101" s="86">
        <f>H5</f>
        <v>54897</v>
      </c>
      <c r="G101" s="86">
        <f>O5</f>
        <v>33200</v>
      </c>
      <c r="H101" s="86">
        <f>I5</f>
        <v>1556</v>
      </c>
    </row>
    <row r="102" spans="4:10" x14ac:dyDescent="0.35">
      <c r="D102" s="61" t="s">
        <v>14</v>
      </c>
      <c r="E102" s="61" t="s">
        <v>17</v>
      </c>
      <c r="F102" s="86">
        <f>H7</f>
        <v>0</v>
      </c>
      <c r="G102" s="86">
        <f>O7</f>
        <v>15000</v>
      </c>
      <c r="H102" s="86">
        <f>I7</f>
        <v>0</v>
      </c>
    </row>
    <row r="103" spans="4:10" x14ac:dyDescent="0.35">
      <c r="D103" s="61" t="s">
        <v>14</v>
      </c>
      <c r="E103" s="61" t="s">
        <v>18</v>
      </c>
      <c r="F103" s="86">
        <f>H8</f>
        <v>166130</v>
      </c>
      <c r="G103" s="86">
        <f>O8</f>
        <v>65899</v>
      </c>
      <c r="H103" s="86">
        <f>I8</f>
        <v>88833</v>
      </c>
    </row>
    <row r="104" spans="4:10" x14ac:dyDescent="0.35">
      <c r="D104" s="61" t="s">
        <v>14</v>
      </c>
      <c r="E104" s="61" t="s">
        <v>19</v>
      </c>
      <c r="F104" s="86">
        <f>H9</f>
        <v>146540</v>
      </c>
      <c r="G104" s="86">
        <f>O9</f>
        <v>92331</v>
      </c>
      <c r="H104" s="86">
        <f>I9</f>
        <v>138520</v>
      </c>
    </row>
    <row r="105" spans="4:10" x14ac:dyDescent="0.35">
      <c r="D105" s="61" t="s">
        <v>14</v>
      </c>
      <c r="E105" s="61" t="s">
        <v>20</v>
      </c>
      <c r="F105" s="86">
        <f>H10</f>
        <v>259344</v>
      </c>
      <c r="G105" s="86">
        <f>O10</f>
        <v>41694</v>
      </c>
      <c r="H105" s="86">
        <f>I10</f>
        <v>120830</v>
      </c>
    </row>
    <row r="106" spans="4:10" x14ac:dyDescent="0.35">
      <c r="D106" s="61" t="s">
        <v>14</v>
      </c>
      <c r="E106" s="61" t="s">
        <v>21</v>
      </c>
      <c r="F106" s="86" t="e">
        <f>H12+#REF!</f>
        <v>#REF!</v>
      </c>
      <c r="G106" s="86">
        <f t="shared" ref="G106" si="15">O12</f>
        <v>50589</v>
      </c>
      <c r="H106" s="86">
        <f t="shared" ref="H106" si="16">I12</f>
        <v>21847</v>
      </c>
    </row>
    <row r="107" spans="4:10" x14ac:dyDescent="0.35">
      <c r="D107" s="87" t="s">
        <v>45</v>
      </c>
      <c r="E107" s="87"/>
      <c r="F107" s="88" t="e">
        <f>SUM(F101:F106)</f>
        <v>#REF!</v>
      </c>
      <c r="G107" s="88">
        <f t="shared" ref="G107" si="17">SUM(G101:G106)</f>
        <v>298713</v>
      </c>
      <c r="H107" s="88">
        <f>SUM(H101:H106)</f>
        <v>371586</v>
      </c>
    </row>
    <row r="108" spans="4:10" x14ac:dyDescent="0.35">
      <c r="D108" s="78" t="s">
        <v>42</v>
      </c>
      <c r="E108" s="78" t="s">
        <v>43</v>
      </c>
      <c r="F108" s="89" t="s">
        <v>79</v>
      </c>
      <c r="G108" s="89" t="s">
        <v>80</v>
      </c>
      <c r="H108" s="89" t="s">
        <v>81</v>
      </c>
    </row>
    <row r="109" spans="4:10" x14ac:dyDescent="0.35">
      <c r="D109" s="61" t="s">
        <v>46</v>
      </c>
      <c r="E109" s="61" t="s">
        <v>48</v>
      </c>
      <c r="F109" s="86">
        <f>H14</f>
        <v>158967</v>
      </c>
      <c r="G109" s="86">
        <f>O14</f>
        <v>35289</v>
      </c>
      <c r="H109" s="86">
        <f>I14</f>
        <v>68692</v>
      </c>
    </row>
    <row r="110" spans="4:10" x14ac:dyDescent="0.35">
      <c r="D110" s="61" t="s">
        <v>46</v>
      </c>
      <c r="E110" s="61" t="s">
        <v>47</v>
      </c>
      <c r="F110" s="86">
        <f>H15</f>
        <v>67941</v>
      </c>
      <c r="G110" s="86">
        <f>O15</f>
        <v>224800</v>
      </c>
      <c r="H110" s="86">
        <f>I15</f>
        <v>4310</v>
      </c>
    </row>
    <row r="111" spans="4:10" x14ac:dyDescent="0.35">
      <c r="D111" s="61" t="s">
        <v>27</v>
      </c>
      <c r="E111" s="61" t="s">
        <v>47</v>
      </c>
      <c r="F111" s="86">
        <v>0</v>
      </c>
      <c r="G111" s="86">
        <v>0</v>
      </c>
      <c r="H111" s="86">
        <v>0</v>
      </c>
    </row>
    <row r="112" spans="4:10" x14ac:dyDescent="0.35">
      <c r="D112" s="87" t="s">
        <v>45</v>
      </c>
      <c r="E112" s="87"/>
      <c r="F112" s="88">
        <f>SUM(F109:F111)</f>
        <v>226908</v>
      </c>
      <c r="G112" s="88">
        <f>SUM(G109:G111)</f>
        <v>260089</v>
      </c>
      <c r="H112" s="88">
        <f>SUM(H109:H111)</f>
        <v>73002</v>
      </c>
    </row>
    <row r="113" spans="4:8" x14ac:dyDescent="0.35">
      <c r="D113" s="78" t="s">
        <v>42</v>
      </c>
      <c r="E113" s="78" t="s">
        <v>43</v>
      </c>
      <c r="F113" s="89" t="s">
        <v>79</v>
      </c>
      <c r="G113" s="89" t="s">
        <v>80</v>
      </c>
      <c r="H113" s="89" t="s">
        <v>81</v>
      </c>
    </row>
    <row r="114" spans="4:8" x14ac:dyDescent="0.35">
      <c r="D114" s="61" t="s">
        <v>49</v>
      </c>
      <c r="E114" s="61" t="s">
        <v>51</v>
      </c>
      <c r="F114" s="86" t="e">
        <f>#REF!</f>
        <v>#REF!</v>
      </c>
      <c r="G114" s="86" t="e">
        <f>#REF!</f>
        <v>#REF!</v>
      </c>
      <c r="H114" s="86" t="e">
        <f>#REF!</f>
        <v>#REF!</v>
      </c>
    </row>
    <row r="115" spans="4:8" x14ac:dyDescent="0.35">
      <c r="D115" s="61" t="s">
        <v>49</v>
      </c>
      <c r="E115" s="61" t="s">
        <v>18</v>
      </c>
      <c r="F115" s="86">
        <f>H34</f>
        <v>0</v>
      </c>
      <c r="G115" s="86">
        <f>O34</f>
        <v>0</v>
      </c>
      <c r="H115" s="86">
        <v>0</v>
      </c>
    </row>
    <row r="116" spans="4:8" x14ac:dyDescent="0.35">
      <c r="D116" s="61" t="s">
        <v>49</v>
      </c>
      <c r="E116" s="61" t="s">
        <v>50</v>
      </c>
      <c r="F116" s="86" t="e">
        <f>#REF!+#REF!</f>
        <v>#REF!</v>
      </c>
      <c r="G116" s="86" t="e">
        <f>#REF!</f>
        <v>#REF!</v>
      </c>
      <c r="H116" s="86" t="e">
        <f>#REF!+#REF!</f>
        <v>#REF!</v>
      </c>
    </row>
    <row r="117" spans="4:8" x14ac:dyDescent="0.35">
      <c r="D117" s="87" t="s">
        <v>45</v>
      </c>
      <c r="E117" s="87"/>
      <c r="F117" s="88" t="e">
        <f>SUM(F114:F116)</f>
        <v>#REF!</v>
      </c>
      <c r="G117" s="88" t="e">
        <f>SUM(G114:G116)</f>
        <v>#REF!</v>
      </c>
      <c r="H117" s="88" t="e">
        <f>SUM(H114:H116)</f>
        <v>#REF!</v>
      </c>
    </row>
    <row r="118" spans="4:8" x14ac:dyDescent="0.35">
      <c r="D118" s="78" t="s">
        <v>42</v>
      </c>
      <c r="E118" s="78" t="s">
        <v>43</v>
      </c>
      <c r="F118" s="89" t="s">
        <v>79</v>
      </c>
      <c r="G118" s="89" t="s">
        <v>80</v>
      </c>
      <c r="H118" s="89" t="s">
        <v>81</v>
      </c>
    </row>
    <row r="119" spans="4:8" x14ac:dyDescent="0.35">
      <c r="D119" s="61" t="s">
        <v>52</v>
      </c>
      <c r="E119" s="61" t="s">
        <v>53</v>
      </c>
      <c r="F119" s="86">
        <f>H25</f>
        <v>0</v>
      </c>
      <c r="G119" s="86">
        <f>O25</f>
        <v>0</v>
      </c>
      <c r="H119" s="86">
        <f>I25</f>
        <v>0</v>
      </c>
    </row>
    <row r="120" spans="4:8" x14ac:dyDescent="0.35">
      <c r="D120" s="87" t="s">
        <v>45</v>
      </c>
      <c r="E120" s="87"/>
      <c r="F120" s="88">
        <f>SUM(F119)</f>
        <v>0</v>
      </c>
      <c r="G120" s="88">
        <f t="shared" ref="G120" si="18">SUM(G119)</f>
        <v>0</v>
      </c>
      <c r="H120" s="88">
        <f>SUM(H119)</f>
        <v>0</v>
      </c>
    </row>
    <row r="121" spans="4:8" x14ac:dyDescent="0.35">
      <c r="D121" s="78" t="s">
        <v>42</v>
      </c>
      <c r="E121" s="78" t="s">
        <v>43</v>
      </c>
      <c r="F121" s="89" t="s">
        <v>79</v>
      </c>
      <c r="G121" s="89" t="s">
        <v>80</v>
      </c>
      <c r="H121" s="89" t="s">
        <v>81</v>
      </c>
    </row>
    <row r="122" spans="4:8" x14ac:dyDescent="0.35">
      <c r="D122" s="61" t="s">
        <v>54</v>
      </c>
      <c r="E122" s="61" t="s">
        <v>53</v>
      </c>
      <c r="F122" s="86">
        <f>H28</f>
        <v>0</v>
      </c>
      <c r="G122" s="86">
        <f>O28</f>
        <v>0</v>
      </c>
      <c r="H122" s="86">
        <f>I28</f>
        <v>0</v>
      </c>
    </row>
    <row r="123" spans="4:8" x14ac:dyDescent="0.35">
      <c r="D123" s="61" t="s">
        <v>54</v>
      </c>
      <c r="E123" s="61" t="s">
        <v>18</v>
      </c>
      <c r="F123" s="86">
        <f>H29</f>
        <v>0</v>
      </c>
      <c r="G123" s="86">
        <f>O29</f>
        <v>0</v>
      </c>
      <c r="H123" s="86">
        <f>I29</f>
        <v>0</v>
      </c>
    </row>
    <row r="124" spans="4:8" x14ac:dyDescent="0.35">
      <c r="D124" s="87" t="s">
        <v>45</v>
      </c>
      <c r="E124" s="87"/>
      <c r="F124" s="88">
        <f>SUM(F122:F123)</f>
        <v>0</v>
      </c>
      <c r="G124" s="88">
        <f t="shared" ref="G124" si="19">SUM(G122:G123)</f>
        <v>0</v>
      </c>
      <c r="H124" s="88">
        <f>SUM(H122:H123)</f>
        <v>0</v>
      </c>
    </row>
    <row r="125" spans="4:8" x14ac:dyDescent="0.35">
      <c r="D125" s="90"/>
      <c r="E125" s="90"/>
      <c r="F125" s="91" t="e">
        <f>F124+F120+F117+F112+F107</f>
        <v>#REF!</v>
      </c>
      <c r="G125" s="91" t="e">
        <f t="shared" ref="G125" si="20">G124+G120+G117+G112+G107</f>
        <v>#REF!</v>
      </c>
      <c r="H125" s="91" t="e">
        <f>H124+H120+H117+H112+H107</f>
        <v>#REF!</v>
      </c>
    </row>
  </sheetData>
  <mergeCells count="43">
    <mergeCell ref="M51:O51"/>
    <mergeCell ref="C2:O2"/>
    <mergeCell ref="C3:O3"/>
    <mergeCell ref="H41:I41"/>
    <mergeCell ref="K42:L42"/>
    <mergeCell ref="M42:O42"/>
    <mergeCell ref="C43:D43"/>
    <mergeCell ref="K43:L43"/>
    <mergeCell ref="K44:L44"/>
    <mergeCell ref="K45:L45"/>
    <mergeCell ref="K46:L46"/>
    <mergeCell ref="K47:L47"/>
    <mergeCell ref="K51:L51"/>
    <mergeCell ref="K52:L52"/>
    <mergeCell ref="M52:O52"/>
    <mergeCell ref="K53:L53"/>
    <mergeCell ref="M53:O53"/>
    <mergeCell ref="K54:L54"/>
    <mergeCell ref="M54:O54"/>
    <mergeCell ref="D66:E66"/>
    <mergeCell ref="K55:L55"/>
    <mergeCell ref="M55:O55"/>
    <mergeCell ref="H56:J56"/>
    <mergeCell ref="K56:K57"/>
    <mergeCell ref="C59:E59"/>
    <mergeCell ref="C60:E60"/>
    <mergeCell ref="D61:E61"/>
    <mergeCell ref="D62:E62"/>
    <mergeCell ref="D63:E63"/>
    <mergeCell ref="D64:E64"/>
    <mergeCell ref="D65:E65"/>
    <mergeCell ref="D78:E78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6"/>
  <sheetViews>
    <sheetView zoomScale="55" zoomScaleNormal="55" workbookViewId="0">
      <selection activeCell="F6" sqref="F6"/>
    </sheetView>
  </sheetViews>
  <sheetFormatPr defaultRowHeight="23.25" x14ac:dyDescent="0.35"/>
  <cols>
    <col min="1" max="1" width="5.5703125" style="104" customWidth="1"/>
    <col min="2" max="2" width="0.140625" style="104" hidden="1" customWidth="1"/>
    <col min="3" max="3" width="20.85546875" style="104" customWidth="1"/>
    <col min="4" max="4" width="26.42578125" style="104" customWidth="1"/>
    <col min="5" max="5" width="18.140625" style="104" customWidth="1"/>
    <col min="6" max="6" width="32.28515625" style="104" bestFit="1" customWidth="1"/>
    <col min="7" max="7" width="21" style="104" customWidth="1"/>
    <col min="8" max="8" width="22.85546875" style="104" customWidth="1"/>
    <col min="9" max="9" width="23.5703125" style="104" customWidth="1"/>
    <col min="10" max="10" width="26.5703125" style="104" bestFit="1" customWidth="1"/>
    <col min="11" max="11" width="21.28515625" style="104" customWidth="1"/>
    <col min="12" max="12" width="22.5703125" style="104" customWidth="1"/>
    <col min="13" max="13" width="26.42578125" style="104" customWidth="1"/>
    <col min="14" max="14" width="17.5703125" style="104" customWidth="1"/>
    <col min="15" max="15" width="22" style="104" customWidth="1"/>
    <col min="16" max="16" width="7.5703125" style="104" customWidth="1"/>
    <col min="17" max="17" width="14.28515625" style="104" bestFit="1" customWidth="1"/>
    <col min="18" max="18" width="11.42578125" style="104" customWidth="1"/>
    <col min="19" max="16384" width="9.140625" style="104"/>
  </cols>
  <sheetData>
    <row r="2" spans="1:16" x14ac:dyDescent="0.35">
      <c r="C2" s="246">
        <v>46099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8"/>
    </row>
    <row r="3" spans="1:16" x14ac:dyDescent="0.35">
      <c r="C3" s="249" t="s">
        <v>0</v>
      </c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6" ht="93" x14ac:dyDescent="0.35">
      <c r="A4" s="174"/>
      <c r="C4" s="106" t="s">
        <v>1</v>
      </c>
      <c r="D4" s="106" t="s">
        <v>2</v>
      </c>
      <c r="E4" s="106" t="s">
        <v>3</v>
      </c>
      <c r="F4" s="106" t="s">
        <v>4</v>
      </c>
      <c r="G4" s="106" t="s">
        <v>5</v>
      </c>
      <c r="H4" s="106" t="s">
        <v>6</v>
      </c>
      <c r="I4" s="106" t="s">
        <v>7</v>
      </c>
      <c r="J4" s="106" t="s">
        <v>8</v>
      </c>
      <c r="K4" s="107" t="s">
        <v>9</v>
      </c>
      <c r="L4" s="107" t="s">
        <v>10</v>
      </c>
      <c r="M4" s="108" t="s">
        <v>11</v>
      </c>
      <c r="N4" s="109" t="s">
        <v>12</v>
      </c>
      <c r="O4" s="106" t="s">
        <v>13</v>
      </c>
    </row>
    <row r="5" spans="1:16" x14ac:dyDescent="0.35">
      <c r="A5" s="110"/>
      <c r="C5" s="111" t="s">
        <v>14</v>
      </c>
      <c r="D5" s="112" t="s">
        <v>15</v>
      </c>
      <c r="E5" s="113" t="s">
        <v>97</v>
      </c>
      <c r="F5" s="114">
        <f>115861-F6</f>
        <v>75922</v>
      </c>
      <c r="G5" s="114">
        <v>0</v>
      </c>
      <c r="H5" s="115">
        <f>F5-G5</f>
        <v>75922</v>
      </c>
      <c r="I5" s="115">
        <f>H5-J5</f>
        <v>22286</v>
      </c>
      <c r="J5" s="116">
        <v>53636</v>
      </c>
      <c r="K5" s="117">
        <v>0</v>
      </c>
      <c r="L5" s="116">
        <v>0</v>
      </c>
      <c r="M5" s="114">
        <f>'17-03-2026'!J58</f>
        <v>361358</v>
      </c>
      <c r="N5" s="117">
        <v>0</v>
      </c>
      <c r="O5" s="118">
        <v>0</v>
      </c>
      <c r="P5" s="119"/>
    </row>
    <row r="6" spans="1:16" x14ac:dyDescent="0.35">
      <c r="A6" s="110"/>
      <c r="C6" s="111" t="s">
        <v>14</v>
      </c>
      <c r="D6" s="112" t="s">
        <v>17</v>
      </c>
      <c r="E6" s="113" t="s">
        <v>98</v>
      </c>
      <c r="F6" s="114">
        <v>39939</v>
      </c>
      <c r="G6" s="114">
        <v>0</v>
      </c>
      <c r="H6" s="115">
        <f t="shared" ref="H6:H10" si="0">F6-G6</f>
        <v>39939</v>
      </c>
      <c r="I6" s="115">
        <f t="shared" ref="I6:I10" si="1">H6-J6</f>
        <v>39939</v>
      </c>
      <c r="J6" s="116">
        <v>0</v>
      </c>
      <c r="K6" s="117">
        <v>0</v>
      </c>
      <c r="L6" s="116">
        <v>0</v>
      </c>
      <c r="M6" s="114">
        <f>'17-03-2026'!J59</f>
        <v>3659204</v>
      </c>
      <c r="N6" s="117">
        <v>0</v>
      </c>
      <c r="O6" s="118">
        <v>0</v>
      </c>
    </row>
    <row r="7" spans="1:16" x14ac:dyDescent="0.35">
      <c r="A7" s="110"/>
      <c r="C7" s="111" t="s">
        <v>14</v>
      </c>
      <c r="D7" s="112" t="s">
        <v>18</v>
      </c>
      <c r="E7" s="113" t="s">
        <v>95</v>
      </c>
      <c r="F7" s="114">
        <v>149728</v>
      </c>
      <c r="G7" s="114">
        <v>1556</v>
      </c>
      <c r="H7" s="115">
        <f t="shared" si="0"/>
        <v>148172</v>
      </c>
      <c r="I7" s="115">
        <f t="shared" si="1"/>
        <v>136987</v>
      </c>
      <c r="J7" s="116">
        <v>11185</v>
      </c>
      <c r="K7" s="117">
        <v>0</v>
      </c>
      <c r="L7" s="116">
        <v>0</v>
      </c>
      <c r="M7" s="114">
        <f>'17-03-2026'!J60</f>
        <v>1908925</v>
      </c>
      <c r="N7" s="117">
        <v>0</v>
      </c>
      <c r="O7" s="118">
        <v>80697</v>
      </c>
    </row>
    <row r="8" spans="1:16" x14ac:dyDescent="0.35">
      <c r="A8" s="110"/>
      <c r="C8" s="111" t="s">
        <v>14</v>
      </c>
      <c r="D8" s="112" t="s">
        <v>19</v>
      </c>
      <c r="E8" s="113" t="s">
        <v>86</v>
      </c>
      <c r="F8" s="114">
        <v>78053</v>
      </c>
      <c r="G8" s="114">
        <v>0</v>
      </c>
      <c r="H8" s="115">
        <f t="shared" si="0"/>
        <v>78053</v>
      </c>
      <c r="I8" s="115">
        <f t="shared" si="1"/>
        <v>63830</v>
      </c>
      <c r="J8" s="116">
        <v>14223</v>
      </c>
      <c r="K8" s="117">
        <v>0</v>
      </c>
      <c r="L8" s="116">
        <v>0</v>
      </c>
      <c r="M8" s="114">
        <f>'17-03-2026'!J61</f>
        <v>1413630</v>
      </c>
      <c r="N8" s="117">
        <v>0</v>
      </c>
      <c r="O8" s="118">
        <v>59998</v>
      </c>
    </row>
    <row r="9" spans="1:16" x14ac:dyDescent="0.35">
      <c r="A9" s="110"/>
      <c r="C9" s="111" t="s">
        <v>14</v>
      </c>
      <c r="D9" s="112" t="s">
        <v>20</v>
      </c>
      <c r="E9" s="113" t="s">
        <v>97</v>
      </c>
      <c r="F9" s="114">
        <v>163837</v>
      </c>
      <c r="G9" s="114">
        <v>2021</v>
      </c>
      <c r="H9" s="115">
        <f t="shared" si="0"/>
        <v>161816</v>
      </c>
      <c r="I9" s="115">
        <f t="shared" si="1"/>
        <v>63522</v>
      </c>
      <c r="J9" s="116">
        <v>98294</v>
      </c>
      <c r="K9" s="117">
        <v>0</v>
      </c>
      <c r="L9" s="116">
        <v>0</v>
      </c>
      <c r="M9" s="114">
        <f>'17-03-2026'!J62</f>
        <v>1460800</v>
      </c>
      <c r="N9" s="117">
        <v>0</v>
      </c>
      <c r="O9" s="118">
        <v>21234</v>
      </c>
    </row>
    <row r="10" spans="1:16" x14ac:dyDescent="0.35">
      <c r="A10" s="110"/>
      <c r="C10" s="111" t="s">
        <v>14</v>
      </c>
      <c r="D10" s="112" t="s">
        <v>21</v>
      </c>
      <c r="E10" s="113" t="s">
        <v>86</v>
      </c>
      <c r="F10" s="114">
        <v>74633</v>
      </c>
      <c r="G10" s="114">
        <v>2172</v>
      </c>
      <c r="H10" s="115">
        <f t="shared" si="0"/>
        <v>72461</v>
      </c>
      <c r="I10" s="115">
        <f t="shared" si="1"/>
        <v>41426</v>
      </c>
      <c r="J10" s="116">
        <v>31035</v>
      </c>
      <c r="K10" s="117">
        <v>0</v>
      </c>
      <c r="L10" s="116">
        <v>0</v>
      </c>
      <c r="M10" s="114">
        <f>'17-03-2026'!J63</f>
        <v>775957</v>
      </c>
      <c r="N10" s="117">
        <v>0</v>
      </c>
      <c r="O10" s="118">
        <v>58511</v>
      </c>
    </row>
    <row r="11" spans="1:16" x14ac:dyDescent="0.35">
      <c r="A11" s="120"/>
      <c r="C11" s="106" t="s">
        <v>22</v>
      </c>
      <c r="D11" s="106"/>
      <c r="E11" s="106"/>
      <c r="F11" s="121">
        <f t="shared" ref="F11:O11" si="2">SUM(F5:F10)</f>
        <v>582112</v>
      </c>
      <c r="G11" s="121">
        <f t="shared" si="2"/>
        <v>5749</v>
      </c>
      <c r="H11" s="121">
        <f t="shared" si="2"/>
        <v>576363</v>
      </c>
      <c r="I11" s="121">
        <f t="shared" si="2"/>
        <v>367990</v>
      </c>
      <c r="J11" s="121">
        <f t="shared" si="2"/>
        <v>208373</v>
      </c>
      <c r="K11" s="121">
        <f t="shared" si="2"/>
        <v>0</v>
      </c>
      <c r="L11" s="121">
        <f t="shared" si="2"/>
        <v>0</v>
      </c>
      <c r="M11" s="173">
        <f t="shared" si="2"/>
        <v>9579874</v>
      </c>
      <c r="N11" s="121">
        <f t="shared" si="2"/>
        <v>0</v>
      </c>
      <c r="O11" s="121">
        <f t="shared" si="2"/>
        <v>220440</v>
      </c>
    </row>
    <row r="12" spans="1:16" x14ac:dyDescent="0.35">
      <c r="C12" s="111" t="s">
        <v>23</v>
      </c>
      <c r="D12" s="112" t="s">
        <v>24</v>
      </c>
      <c r="E12" s="113" t="s">
        <v>84</v>
      </c>
      <c r="F12" s="114">
        <v>158062</v>
      </c>
      <c r="G12" s="114">
        <v>13305</v>
      </c>
      <c r="H12" s="115">
        <f t="shared" ref="H12:H29" si="3">F12-G12</f>
        <v>144757</v>
      </c>
      <c r="I12" s="115">
        <f t="shared" ref="I12:I29" si="4">H12-J12</f>
        <v>54045</v>
      </c>
      <c r="J12" s="116">
        <v>90712</v>
      </c>
      <c r="K12" s="117">
        <v>0</v>
      </c>
      <c r="L12" s="116">
        <v>0</v>
      </c>
      <c r="M12" s="114">
        <f>'17-03-2026'!J67</f>
        <v>502077</v>
      </c>
      <c r="N12" s="117">
        <v>0</v>
      </c>
      <c r="O12" s="116">
        <v>73648</v>
      </c>
    </row>
    <row r="13" spans="1:16" x14ac:dyDescent="0.35">
      <c r="C13" s="111" t="s">
        <v>23</v>
      </c>
      <c r="D13" s="112" t="s">
        <v>25</v>
      </c>
      <c r="E13" s="113" t="s">
        <v>85</v>
      </c>
      <c r="F13" s="114">
        <v>788283</v>
      </c>
      <c r="G13" s="114">
        <v>0</v>
      </c>
      <c r="H13" s="115">
        <f t="shared" si="3"/>
        <v>788283</v>
      </c>
      <c r="I13" s="115">
        <f t="shared" si="4"/>
        <v>779830</v>
      </c>
      <c r="J13" s="116">
        <v>8453</v>
      </c>
      <c r="K13" s="117">
        <v>0</v>
      </c>
      <c r="L13" s="116">
        <v>0</v>
      </c>
      <c r="M13" s="114">
        <f>'17-03-2026'!J68</f>
        <v>1638749</v>
      </c>
      <c r="N13" s="117">
        <v>0</v>
      </c>
      <c r="O13" s="116">
        <v>100070</v>
      </c>
    </row>
    <row r="14" spans="1:16" x14ac:dyDescent="0.35">
      <c r="C14" s="111" t="s">
        <v>23</v>
      </c>
      <c r="D14" s="112" t="s">
        <v>26</v>
      </c>
      <c r="E14" s="113" t="s">
        <v>15</v>
      </c>
      <c r="F14" s="114">
        <v>0</v>
      </c>
      <c r="G14" s="114">
        <v>0</v>
      </c>
      <c r="H14" s="115">
        <f t="shared" si="3"/>
        <v>0</v>
      </c>
      <c r="I14" s="115">
        <f t="shared" si="4"/>
        <v>0</v>
      </c>
      <c r="J14" s="116">
        <v>0</v>
      </c>
      <c r="K14" s="117">
        <v>0</v>
      </c>
      <c r="L14" s="116">
        <v>0</v>
      </c>
      <c r="M14" s="114">
        <f>'17-03-2026'!J69</f>
        <v>379215</v>
      </c>
      <c r="N14" s="117">
        <v>0</v>
      </c>
      <c r="O14" s="116">
        <v>0</v>
      </c>
    </row>
    <row r="15" spans="1:16" x14ac:dyDescent="0.35">
      <c r="C15" s="111" t="s">
        <v>23</v>
      </c>
      <c r="D15" s="112" t="s">
        <v>20</v>
      </c>
      <c r="E15" s="113" t="s">
        <v>97</v>
      </c>
      <c r="F15" s="114">
        <v>24934</v>
      </c>
      <c r="G15" s="114">
        <v>0</v>
      </c>
      <c r="H15" s="115">
        <f t="shared" si="3"/>
        <v>24934</v>
      </c>
      <c r="I15" s="115">
        <f t="shared" si="4"/>
        <v>0</v>
      </c>
      <c r="J15" s="116">
        <v>24934</v>
      </c>
      <c r="K15" s="117">
        <v>0</v>
      </c>
      <c r="L15" s="116">
        <v>0</v>
      </c>
      <c r="M15" s="114">
        <f>'17-03-2026'!J70</f>
        <v>8160</v>
      </c>
      <c r="N15" s="117">
        <v>0</v>
      </c>
      <c r="O15" s="116">
        <v>8160</v>
      </c>
    </row>
    <row r="16" spans="1:16" x14ac:dyDescent="0.35">
      <c r="C16" s="111" t="s">
        <v>23</v>
      </c>
      <c r="D16" s="112" t="s">
        <v>18</v>
      </c>
      <c r="E16" s="113" t="s">
        <v>97</v>
      </c>
      <c r="F16" s="114">
        <v>0</v>
      </c>
      <c r="G16" s="114">
        <v>0</v>
      </c>
      <c r="H16" s="115">
        <f t="shared" si="3"/>
        <v>0</v>
      </c>
      <c r="I16" s="115">
        <f t="shared" si="4"/>
        <v>0</v>
      </c>
      <c r="J16" s="116">
        <v>0</v>
      </c>
      <c r="K16" s="117">
        <v>0</v>
      </c>
      <c r="L16" s="116">
        <v>0</v>
      </c>
      <c r="M16" s="114">
        <v>0</v>
      </c>
      <c r="N16" s="117">
        <v>0</v>
      </c>
      <c r="O16" s="116">
        <v>0</v>
      </c>
    </row>
    <row r="17" spans="3:15" x14ac:dyDescent="0.35">
      <c r="C17" s="111" t="s">
        <v>23</v>
      </c>
      <c r="D17" s="106"/>
      <c r="E17" s="106"/>
      <c r="F17" s="121">
        <f>SUM(F12:F16)</f>
        <v>971279</v>
      </c>
      <c r="G17" s="121">
        <f>SUM(G12:G16)</f>
        <v>13305</v>
      </c>
      <c r="H17" s="121">
        <f>SUM(H12:H15)</f>
        <v>957974</v>
      </c>
      <c r="I17" s="121">
        <f>SUM(I12:I15)</f>
        <v>833875</v>
      </c>
      <c r="J17" s="121">
        <f>SUM(J12:J16)</f>
        <v>124099</v>
      </c>
      <c r="K17" s="121">
        <f>SUM(K12:K15)</f>
        <v>0</v>
      </c>
      <c r="L17" s="121">
        <f>SUM(L12:L15)</f>
        <v>0</v>
      </c>
      <c r="M17" s="121">
        <f>SUM(M12:M16)</f>
        <v>2528201</v>
      </c>
      <c r="N17" s="121">
        <f>SUM(N12:N15)</f>
        <v>0</v>
      </c>
      <c r="O17" s="121">
        <f>SUM(O12:O16)</f>
        <v>181878</v>
      </c>
    </row>
    <row r="18" spans="3:15" x14ac:dyDescent="0.35">
      <c r="C18" s="111" t="s">
        <v>27</v>
      </c>
      <c r="D18" s="112" t="s">
        <v>25</v>
      </c>
      <c r="E18" s="113" t="s">
        <v>16</v>
      </c>
      <c r="F18" s="114">
        <v>0</v>
      </c>
      <c r="G18" s="114">
        <v>0</v>
      </c>
      <c r="H18" s="115">
        <f t="shared" si="3"/>
        <v>0</v>
      </c>
      <c r="I18" s="115">
        <f t="shared" si="4"/>
        <v>0</v>
      </c>
      <c r="J18" s="116">
        <v>0</v>
      </c>
      <c r="K18" s="117">
        <v>0</v>
      </c>
      <c r="L18" s="116">
        <v>0</v>
      </c>
      <c r="M18" s="114">
        <f>'17-03-2026'!J71</f>
        <v>51257</v>
      </c>
      <c r="N18" s="117">
        <v>0</v>
      </c>
      <c r="O18" s="116">
        <v>0</v>
      </c>
    </row>
    <row r="19" spans="3:15" x14ac:dyDescent="0.35">
      <c r="C19" s="106"/>
      <c r="D19" s="106"/>
      <c r="E19" s="106"/>
      <c r="F19" s="121">
        <f>SUM(F18)</f>
        <v>0</v>
      </c>
      <c r="G19" s="121">
        <f t="shared" ref="G19:O19" si="5">SUM(G18)</f>
        <v>0</v>
      </c>
      <c r="H19" s="121">
        <f t="shared" si="5"/>
        <v>0</v>
      </c>
      <c r="I19" s="121">
        <f t="shared" si="5"/>
        <v>0</v>
      </c>
      <c r="J19" s="121">
        <f t="shared" si="5"/>
        <v>0</v>
      </c>
      <c r="K19" s="121">
        <f t="shared" si="5"/>
        <v>0</v>
      </c>
      <c r="L19" s="121">
        <f t="shared" si="5"/>
        <v>0</v>
      </c>
      <c r="M19" s="121">
        <f>SUM(M18)</f>
        <v>51257</v>
      </c>
      <c r="N19" s="121">
        <f t="shared" si="5"/>
        <v>0</v>
      </c>
      <c r="O19" s="121">
        <f t="shared" si="5"/>
        <v>0</v>
      </c>
    </row>
    <row r="20" spans="3:15" x14ac:dyDescent="0.35">
      <c r="C20" s="111" t="s">
        <v>28</v>
      </c>
      <c r="D20" s="112" t="s">
        <v>29</v>
      </c>
      <c r="E20" s="113" t="s">
        <v>16</v>
      </c>
      <c r="F20" s="114">
        <v>0</v>
      </c>
      <c r="G20" s="114">
        <v>0</v>
      </c>
      <c r="H20" s="115">
        <f t="shared" si="3"/>
        <v>0</v>
      </c>
      <c r="I20" s="115">
        <f t="shared" si="4"/>
        <v>0</v>
      </c>
      <c r="J20" s="116">
        <v>0</v>
      </c>
      <c r="K20" s="117">
        <v>0</v>
      </c>
      <c r="L20" s="116">
        <v>0</v>
      </c>
      <c r="M20" s="114">
        <f>'17-03-2026'!J82</f>
        <v>33969</v>
      </c>
      <c r="N20" s="117">
        <v>0</v>
      </c>
      <c r="O20" s="116">
        <v>0</v>
      </c>
    </row>
    <row r="21" spans="3:15" x14ac:dyDescent="0.35">
      <c r="C21" s="111" t="s">
        <v>28</v>
      </c>
      <c r="D21" s="112" t="s">
        <v>25</v>
      </c>
      <c r="E21" s="113" t="s">
        <v>16</v>
      </c>
      <c r="F21" s="114">
        <v>0</v>
      </c>
      <c r="G21" s="114">
        <v>0</v>
      </c>
      <c r="H21" s="115">
        <f t="shared" si="3"/>
        <v>0</v>
      </c>
      <c r="I21" s="115">
        <f t="shared" si="4"/>
        <v>0</v>
      </c>
      <c r="J21" s="116">
        <v>0</v>
      </c>
      <c r="K21" s="117">
        <v>0</v>
      </c>
      <c r="L21" s="116">
        <v>0</v>
      </c>
      <c r="M21" s="114">
        <f>'17-03-2026'!J83</f>
        <v>151366</v>
      </c>
      <c r="N21" s="117">
        <v>0</v>
      </c>
      <c r="O21" s="116">
        <v>0</v>
      </c>
    </row>
    <row r="22" spans="3:15" x14ac:dyDescent="0.35">
      <c r="C22" s="106" t="s">
        <v>22</v>
      </c>
      <c r="D22" s="106"/>
      <c r="E22" s="106"/>
      <c r="F22" s="121">
        <f t="shared" ref="F22:L22" si="6">SUM(F20:F21)</f>
        <v>0</v>
      </c>
      <c r="G22" s="121">
        <f t="shared" si="6"/>
        <v>0</v>
      </c>
      <c r="H22" s="121">
        <f t="shared" si="6"/>
        <v>0</v>
      </c>
      <c r="I22" s="121">
        <f t="shared" si="6"/>
        <v>0</v>
      </c>
      <c r="J22" s="121">
        <f t="shared" si="6"/>
        <v>0</v>
      </c>
      <c r="K22" s="121">
        <f>SUM(K20:K21)</f>
        <v>0</v>
      </c>
      <c r="L22" s="121">
        <f t="shared" si="6"/>
        <v>0</v>
      </c>
      <c r="M22" s="121">
        <f>SUM(M20:M21)</f>
        <v>185335</v>
      </c>
      <c r="N22" s="121">
        <f t="shared" ref="N22:O22" si="7">SUM(N20:N21)</f>
        <v>0</v>
      </c>
      <c r="O22" s="121">
        <f t="shared" si="7"/>
        <v>0</v>
      </c>
    </row>
    <row r="23" spans="3:15" x14ac:dyDescent="0.35">
      <c r="C23" s="111" t="s">
        <v>30</v>
      </c>
      <c r="D23" s="112" t="s">
        <v>29</v>
      </c>
      <c r="E23" s="113" t="s">
        <v>16</v>
      </c>
      <c r="F23" s="122">
        <v>0</v>
      </c>
      <c r="G23" s="122">
        <v>0</v>
      </c>
      <c r="H23" s="115">
        <f t="shared" si="3"/>
        <v>0</v>
      </c>
      <c r="I23" s="115">
        <f t="shared" si="4"/>
        <v>0</v>
      </c>
      <c r="J23" s="123">
        <v>0</v>
      </c>
      <c r="K23" s="124">
        <v>0</v>
      </c>
      <c r="L23" s="123">
        <v>0</v>
      </c>
      <c r="M23" s="122">
        <f>'17-03-2026'!J86</f>
        <v>89658</v>
      </c>
      <c r="N23" s="124">
        <v>0</v>
      </c>
      <c r="O23" s="123">
        <v>0</v>
      </c>
    </row>
    <row r="24" spans="3:15" x14ac:dyDescent="0.35">
      <c r="C24" s="111" t="s">
        <v>30</v>
      </c>
      <c r="D24" s="112" t="s">
        <v>31</v>
      </c>
      <c r="E24" s="113" t="s">
        <v>16</v>
      </c>
      <c r="F24" s="122">
        <v>0</v>
      </c>
      <c r="G24" s="122">
        <v>0</v>
      </c>
      <c r="H24" s="115">
        <f t="shared" si="3"/>
        <v>0</v>
      </c>
      <c r="I24" s="115">
        <f t="shared" si="4"/>
        <v>0</v>
      </c>
      <c r="J24" s="123">
        <v>0</v>
      </c>
      <c r="K24" s="124">
        <v>0</v>
      </c>
      <c r="L24" s="123">
        <v>0</v>
      </c>
      <c r="M24" s="122">
        <f>'17-03-2026'!J87</f>
        <v>17000</v>
      </c>
      <c r="N24" s="124">
        <v>0</v>
      </c>
      <c r="O24" s="123">
        <v>0</v>
      </c>
    </row>
    <row r="25" spans="3:15" x14ac:dyDescent="0.35">
      <c r="C25" s="106" t="s">
        <v>22</v>
      </c>
      <c r="D25" s="106"/>
      <c r="E25" s="106"/>
      <c r="F25" s="121">
        <f>SUM(F23:F24)</f>
        <v>0</v>
      </c>
      <c r="G25" s="121">
        <f t="shared" ref="G25:O25" si="8">SUM(G23:G24)</f>
        <v>0</v>
      </c>
      <c r="H25" s="121">
        <f t="shared" si="8"/>
        <v>0</v>
      </c>
      <c r="I25" s="121">
        <f t="shared" si="8"/>
        <v>0</v>
      </c>
      <c r="J25" s="121">
        <f t="shared" si="8"/>
        <v>0</v>
      </c>
      <c r="K25" s="121">
        <f t="shared" si="8"/>
        <v>0</v>
      </c>
      <c r="L25" s="121">
        <f t="shared" si="8"/>
        <v>0</v>
      </c>
      <c r="M25" s="121">
        <f t="shared" si="8"/>
        <v>106658</v>
      </c>
      <c r="N25" s="121">
        <f t="shared" si="8"/>
        <v>0</v>
      </c>
      <c r="O25" s="121">
        <f t="shared" si="8"/>
        <v>0</v>
      </c>
    </row>
    <row r="26" spans="3:15" x14ac:dyDescent="0.35">
      <c r="C26" s="111" t="s">
        <v>32</v>
      </c>
      <c r="D26" s="112" t="s">
        <v>33</v>
      </c>
      <c r="E26" s="113" t="s">
        <v>85</v>
      </c>
      <c r="F26" s="125">
        <v>0</v>
      </c>
      <c r="G26" s="114">
        <v>0</v>
      </c>
      <c r="H26" s="115">
        <f t="shared" si="3"/>
        <v>0</v>
      </c>
      <c r="I26" s="115">
        <f t="shared" si="4"/>
        <v>0</v>
      </c>
      <c r="J26" s="116">
        <v>0</v>
      </c>
      <c r="K26" s="117">
        <v>0</v>
      </c>
      <c r="L26" s="116">
        <v>0</v>
      </c>
      <c r="M26" s="114">
        <f>'17-03-2026'!J74</f>
        <v>1719605</v>
      </c>
      <c r="N26" s="117">
        <v>0</v>
      </c>
      <c r="O26" s="116">
        <v>43072</v>
      </c>
    </row>
    <row r="27" spans="3:15" x14ac:dyDescent="0.35">
      <c r="C27" s="111" t="s">
        <v>32</v>
      </c>
      <c r="D27" s="112" t="s">
        <v>31</v>
      </c>
      <c r="E27" s="113" t="s">
        <v>16</v>
      </c>
      <c r="F27" s="125">
        <v>0</v>
      </c>
      <c r="G27" s="114">
        <v>0</v>
      </c>
      <c r="H27" s="115">
        <f t="shared" si="3"/>
        <v>0</v>
      </c>
      <c r="I27" s="115">
        <f t="shared" si="4"/>
        <v>0</v>
      </c>
      <c r="J27" s="116">
        <v>0</v>
      </c>
      <c r="K27" s="117">
        <v>0</v>
      </c>
      <c r="L27" s="116">
        <v>0</v>
      </c>
      <c r="M27" s="114">
        <f>'17-03-2026'!J75</f>
        <v>174473</v>
      </c>
      <c r="N27" s="117">
        <v>0</v>
      </c>
      <c r="O27" s="116">
        <v>0</v>
      </c>
    </row>
    <row r="28" spans="3:15" x14ac:dyDescent="0.35">
      <c r="C28" s="111" t="s">
        <v>32</v>
      </c>
      <c r="D28" s="112" t="s">
        <v>26</v>
      </c>
      <c r="E28" s="113" t="s">
        <v>16</v>
      </c>
      <c r="F28" s="125">
        <v>0</v>
      </c>
      <c r="G28" s="114">
        <v>0</v>
      </c>
      <c r="H28" s="115">
        <f t="shared" si="3"/>
        <v>0</v>
      </c>
      <c r="I28" s="115">
        <f t="shared" si="4"/>
        <v>0</v>
      </c>
      <c r="J28" s="116">
        <v>0</v>
      </c>
      <c r="K28" s="117">
        <v>0</v>
      </c>
      <c r="L28" s="116">
        <v>0</v>
      </c>
      <c r="M28" s="114">
        <f>'17-03-2026'!J76</f>
        <v>35126</v>
      </c>
      <c r="N28" s="117">
        <v>0</v>
      </c>
      <c r="O28" s="116">
        <v>0</v>
      </c>
    </row>
    <row r="29" spans="3:15" x14ac:dyDescent="0.35">
      <c r="C29" s="111" t="s">
        <v>32</v>
      </c>
      <c r="D29" s="112" t="s">
        <v>34</v>
      </c>
      <c r="E29" s="113" t="s">
        <v>50</v>
      </c>
      <c r="F29" s="125">
        <v>2007</v>
      </c>
      <c r="G29" s="114">
        <v>0</v>
      </c>
      <c r="H29" s="115">
        <f t="shared" si="3"/>
        <v>2007</v>
      </c>
      <c r="I29" s="115">
        <f t="shared" si="4"/>
        <v>2007</v>
      </c>
      <c r="J29" s="116">
        <v>0</v>
      </c>
      <c r="K29" s="117">
        <v>0</v>
      </c>
      <c r="L29" s="116">
        <v>0</v>
      </c>
      <c r="M29" s="114">
        <f>'17-03-2026'!J77</f>
        <v>1474714</v>
      </c>
      <c r="N29" s="117">
        <v>0</v>
      </c>
      <c r="O29" s="116">
        <v>59710</v>
      </c>
    </row>
    <row r="30" spans="3:15" x14ac:dyDescent="0.35">
      <c r="C30" s="106" t="s">
        <v>22</v>
      </c>
      <c r="D30" s="106"/>
      <c r="E30" s="106"/>
      <c r="F30" s="121">
        <f t="shared" ref="F30:O30" si="9">SUM(F26:F29)</f>
        <v>2007</v>
      </c>
      <c r="G30" s="121">
        <f t="shared" si="9"/>
        <v>0</v>
      </c>
      <c r="H30" s="121">
        <f t="shared" si="9"/>
        <v>2007</v>
      </c>
      <c r="I30" s="121">
        <f t="shared" si="9"/>
        <v>2007</v>
      </c>
      <c r="J30" s="121">
        <f t="shared" si="9"/>
        <v>0</v>
      </c>
      <c r="K30" s="121">
        <f t="shared" si="9"/>
        <v>0</v>
      </c>
      <c r="L30" s="121">
        <f t="shared" si="9"/>
        <v>0</v>
      </c>
      <c r="M30" s="121">
        <f t="shared" si="9"/>
        <v>3403918</v>
      </c>
      <c r="N30" s="121">
        <f t="shared" si="9"/>
        <v>0</v>
      </c>
      <c r="O30" s="121">
        <f t="shared" si="9"/>
        <v>102782</v>
      </c>
    </row>
    <row r="31" spans="3:15" x14ac:dyDescent="0.35">
      <c r="C31" s="126" t="s">
        <v>35</v>
      </c>
      <c r="D31" s="126"/>
      <c r="E31" s="126"/>
      <c r="F31" s="127">
        <f t="shared" ref="F31:O31" si="10">F30+F25+F22+F19+F17+F11</f>
        <v>1555398</v>
      </c>
      <c r="G31" s="127">
        <f t="shared" si="10"/>
        <v>19054</v>
      </c>
      <c r="H31" s="127">
        <f t="shared" si="10"/>
        <v>1536344</v>
      </c>
      <c r="I31" s="127">
        <f t="shared" si="10"/>
        <v>1203872</v>
      </c>
      <c r="J31" s="127">
        <f t="shared" si="10"/>
        <v>332472</v>
      </c>
      <c r="K31" s="127">
        <f t="shared" si="10"/>
        <v>0</v>
      </c>
      <c r="L31" s="127">
        <f t="shared" si="10"/>
        <v>0</v>
      </c>
      <c r="M31" s="127">
        <f t="shared" si="10"/>
        <v>15855243</v>
      </c>
      <c r="N31" s="127">
        <f t="shared" si="10"/>
        <v>0</v>
      </c>
      <c r="O31" s="127">
        <f t="shared" si="10"/>
        <v>505100</v>
      </c>
    </row>
    <row r="32" spans="3:15" x14ac:dyDescent="0.35">
      <c r="F32" s="128" t="s">
        <v>36</v>
      </c>
      <c r="G32" s="116">
        <f>O11+L11+J11-K11</f>
        <v>428813</v>
      </c>
      <c r="H32" s="252"/>
      <c r="I32" s="253"/>
      <c r="J32" s="129"/>
      <c r="K32" s="130"/>
      <c r="L32" s="130"/>
    </row>
    <row r="33" spans="3:15" x14ac:dyDescent="0.35">
      <c r="F33" s="131" t="s">
        <v>37</v>
      </c>
      <c r="G33" s="116">
        <f>O17+L17+J17-K17+O19+L19+J19-K19</f>
        <v>305977</v>
      </c>
      <c r="H33" s="132"/>
      <c r="I33" s="133" t="s">
        <v>89</v>
      </c>
      <c r="J33" s="133" t="s">
        <v>90</v>
      </c>
      <c r="K33" s="239" t="s">
        <v>88</v>
      </c>
      <c r="L33" s="238"/>
      <c r="M33" s="254" t="s">
        <v>87</v>
      </c>
      <c r="N33" s="255"/>
      <c r="O33" s="256"/>
    </row>
    <row r="34" spans="3:15" x14ac:dyDescent="0.35">
      <c r="C34" s="257" t="s">
        <v>68</v>
      </c>
      <c r="D34" s="258"/>
      <c r="F34" s="134" t="s">
        <v>38</v>
      </c>
      <c r="G34" s="116">
        <f>O22+L22+J22-K22</f>
        <v>0</v>
      </c>
      <c r="H34" s="132"/>
      <c r="I34" s="133"/>
      <c r="J34" s="135"/>
      <c r="K34" s="239"/>
      <c r="L34" s="238"/>
      <c r="M34" s="136"/>
      <c r="N34" s="137"/>
      <c r="O34" s="138"/>
    </row>
    <row r="35" spans="3:15" x14ac:dyDescent="0.35">
      <c r="C35" s="139"/>
      <c r="D35" s="139"/>
      <c r="F35" s="140" t="s">
        <v>30</v>
      </c>
      <c r="G35" s="116">
        <f>O25+L25+J25-K25</f>
        <v>0</v>
      </c>
      <c r="H35" s="132"/>
      <c r="I35" s="141"/>
      <c r="J35" s="135"/>
      <c r="K35" s="239"/>
      <c r="L35" s="238"/>
      <c r="M35" s="136"/>
      <c r="N35" s="137"/>
      <c r="O35" s="138"/>
    </row>
    <row r="36" spans="3:15" x14ac:dyDescent="0.35">
      <c r="C36" s="139"/>
      <c r="D36" s="139"/>
      <c r="F36" s="128" t="s">
        <v>39</v>
      </c>
      <c r="G36" s="116">
        <f>O30+L30+J30-K30</f>
        <v>102782</v>
      </c>
      <c r="H36" s="132"/>
      <c r="I36" s="141"/>
      <c r="J36" s="135"/>
      <c r="K36" s="239"/>
      <c r="L36" s="238"/>
      <c r="M36" s="136"/>
      <c r="N36" s="137"/>
      <c r="O36" s="138"/>
    </row>
    <row r="37" spans="3:15" x14ac:dyDescent="0.35">
      <c r="C37" s="139"/>
      <c r="D37" s="139"/>
      <c r="F37" s="142" t="s">
        <v>40</v>
      </c>
      <c r="G37" s="143">
        <f>SUM(G32:G36)</f>
        <v>837572</v>
      </c>
      <c r="I37" s="139"/>
      <c r="J37" s="135"/>
      <c r="K37" s="239"/>
      <c r="L37" s="238"/>
      <c r="M37" s="136"/>
      <c r="N37" s="137"/>
      <c r="O37" s="138"/>
    </row>
    <row r="38" spans="3:15" x14ac:dyDescent="0.35">
      <c r="C38" s="139"/>
      <c r="D38" s="139"/>
      <c r="F38" s="144"/>
      <c r="G38" s="145"/>
      <c r="I38" s="139"/>
      <c r="J38" s="135"/>
      <c r="K38" s="239"/>
      <c r="L38" s="238"/>
      <c r="M38" s="136"/>
      <c r="N38" s="137"/>
      <c r="O38" s="138"/>
    </row>
    <row r="39" spans="3:15" x14ac:dyDescent="0.35">
      <c r="C39" s="139"/>
      <c r="D39" s="139"/>
      <c r="F39" s="144"/>
      <c r="G39" s="145"/>
      <c r="I39" s="139"/>
      <c r="J39" s="135"/>
      <c r="K39" s="137"/>
      <c r="L39" s="137"/>
      <c r="M39" s="136"/>
      <c r="N39" s="137"/>
      <c r="O39" s="138"/>
    </row>
    <row r="40" spans="3:15" x14ac:dyDescent="0.35">
      <c r="C40" s="139"/>
      <c r="D40" s="139"/>
      <c r="F40" s="144"/>
      <c r="G40" s="145"/>
      <c r="I40" s="139"/>
      <c r="J40" s="135"/>
      <c r="K40" s="137"/>
      <c r="L40" s="137"/>
      <c r="M40" s="136"/>
      <c r="N40" s="137"/>
      <c r="O40" s="138"/>
    </row>
    <row r="41" spans="3:15" x14ac:dyDescent="0.35">
      <c r="C41" s="139"/>
      <c r="D41" s="139"/>
      <c r="F41" s="144"/>
      <c r="G41" s="145"/>
      <c r="I41" s="139"/>
      <c r="J41" s="135"/>
      <c r="K41" s="137"/>
      <c r="L41" s="137"/>
      <c r="M41" s="136"/>
      <c r="N41" s="137"/>
      <c r="O41" s="138"/>
    </row>
    <row r="42" spans="3:15" x14ac:dyDescent="0.35">
      <c r="C42" s="139"/>
      <c r="D42" s="139"/>
      <c r="F42" s="144"/>
      <c r="G42" s="145"/>
      <c r="I42" s="139"/>
      <c r="J42" s="135"/>
      <c r="K42" s="237"/>
      <c r="L42" s="238"/>
      <c r="M42" s="237"/>
      <c r="N42" s="239"/>
      <c r="O42" s="238"/>
    </row>
    <row r="43" spans="3:15" x14ac:dyDescent="0.35">
      <c r="C43" s="139"/>
      <c r="D43" s="139"/>
      <c r="F43" s="144"/>
      <c r="G43" s="145"/>
      <c r="I43" s="139"/>
      <c r="J43" s="133"/>
      <c r="K43" s="237"/>
      <c r="L43" s="238"/>
      <c r="M43" s="237"/>
      <c r="N43" s="239"/>
      <c r="O43" s="238"/>
    </row>
    <row r="44" spans="3:15" x14ac:dyDescent="0.35">
      <c r="C44" s="139"/>
      <c r="D44" s="139"/>
      <c r="F44" s="144"/>
      <c r="G44" s="145"/>
      <c r="I44" s="139"/>
      <c r="J44" s="133"/>
      <c r="K44" s="237"/>
      <c r="L44" s="238"/>
      <c r="M44" s="237"/>
      <c r="N44" s="239"/>
      <c r="O44" s="238"/>
    </row>
    <row r="45" spans="3:15" x14ac:dyDescent="0.35">
      <c r="C45" s="139"/>
      <c r="D45" s="139"/>
      <c r="F45" s="144"/>
      <c r="G45" s="145"/>
      <c r="I45" s="139"/>
      <c r="J45" s="133"/>
      <c r="K45" s="237"/>
      <c r="L45" s="238"/>
      <c r="M45" s="237"/>
      <c r="N45" s="239"/>
      <c r="O45" s="238"/>
    </row>
    <row r="46" spans="3:15" x14ac:dyDescent="0.35">
      <c r="C46" s="139"/>
      <c r="D46" s="139"/>
      <c r="F46" s="144"/>
      <c r="G46" s="145"/>
      <c r="I46" s="139"/>
      <c r="J46" s="133"/>
      <c r="K46" s="237"/>
      <c r="L46" s="238"/>
      <c r="M46" s="237"/>
      <c r="N46" s="239"/>
      <c r="O46" s="238"/>
    </row>
    <row r="47" spans="3:15" x14ac:dyDescent="0.35">
      <c r="H47" s="240" t="s">
        <v>41</v>
      </c>
      <c r="I47" s="240"/>
      <c r="J47" s="240"/>
      <c r="K47" s="241"/>
      <c r="L47" s="110"/>
      <c r="M47" s="146"/>
    </row>
    <row r="48" spans="3:15" x14ac:dyDescent="0.35">
      <c r="H48" s="147" t="s">
        <v>42</v>
      </c>
      <c r="I48" s="147" t="s">
        <v>43</v>
      </c>
      <c r="J48" s="147" t="s">
        <v>44</v>
      </c>
      <c r="K48" s="241"/>
      <c r="L48" s="146"/>
    </row>
    <row r="49" spans="3:14" x14ac:dyDescent="0.35">
      <c r="F49" s="148"/>
      <c r="H49" s="104" t="s">
        <v>14</v>
      </c>
      <c r="I49" s="104" t="s">
        <v>15</v>
      </c>
      <c r="J49" s="148">
        <f>M5-O5-N5-L5+I5</f>
        <v>383644</v>
      </c>
      <c r="K49" s="149">
        <v>423583</v>
      </c>
      <c r="L49" s="150">
        <f>J49-K49</f>
        <v>-39939</v>
      </c>
      <c r="M49" s="148"/>
    </row>
    <row r="50" spans="3:14" x14ac:dyDescent="0.35">
      <c r="C50" s="242">
        <v>45931</v>
      </c>
      <c r="D50" s="242"/>
      <c r="E50" s="242"/>
      <c r="H50" s="104" t="s">
        <v>14</v>
      </c>
      <c r="I50" s="104" t="s">
        <v>17</v>
      </c>
      <c r="J50" s="148">
        <f>M6-O6-N6-L6+I6+G50</f>
        <v>3699143</v>
      </c>
      <c r="K50" s="149">
        <v>3659204</v>
      </c>
      <c r="L50" s="150">
        <f t="shared" ref="L50:L61" si="11">J50-K50</f>
        <v>39939</v>
      </c>
      <c r="M50" s="148"/>
    </row>
    <row r="51" spans="3:14" x14ac:dyDescent="0.35">
      <c r="C51" s="243" t="s">
        <v>63</v>
      </c>
      <c r="D51" s="243"/>
      <c r="E51" s="243"/>
      <c r="H51" s="104" t="s">
        <v>14</v>
      </c>
      <c r="I51" s="104" t="s">
        <v>18</v>
      </c>
      <c r="J51" s="148">
        <f>M7-O7-N7-L7+I7+G51</f>
        <v>1965215</v>
      </c>
      <c r="K51" s="149">
        <v>1965215</v>
      </c>
      <c r="L51" s="150">
        <f t="shared" si="11"/>
        <v>0</v>
      </c>
      <c r="M51" s="148"/>
    </row>
    <row r="52" spans="3:14" x14ac:dyDescent="0.35">
      <c r="C52" s="139" t="s">
        <v>64</v>
      </c>
      <c r="D52" s="225">
        <f>'Opening Balance FEB 2026'!J4</f>
        <v>1308640</v>
      </c>
      <c r="E52" s="226"/>
      <c r="H52" s="104" t="s">
        <v>14</v>
      </c>
      <c r="I52" s="104" t="s">
        <v>19</v>
      </c>
      <c r="J52" s="148">
        <f>M8-O8-N8-L8+I8+G52</f>
        <v>1417462</v>
      </c>
      <c r="K52" s="149">
        <v>1417462</v>
      </c>
      <c r="L52" s="150">
        <f t="shared" si="11"/>
        <v>0</v>
      </c>
      <c r="M52" s="148"/>
    </row>
    <row r="53" spans="3:14" x14ac:dyDescent="0.35">
      <c r="C53" s="139" t="s">
        <v>65</v>
      </c>
      <c r="D53" s="225">
        <f>G37</f>
        <v>837572</v>
      </c>
      <c r="E53" s="226"/>
      <c r="H53" s="104" t="s">
        <v>14</v>
      </c>
      <c r="I53" s="104" t="s">
        <v>20</v>
      </c>
      <c r="J53" s="148">
        <f>M9-O9-N9-L9+I9+G53</f>
        <v>1503088</v>
      </c>
      <c r="K53" s="149">
        <v>1503088</v>
      </c>
      <c r="L53" s="150">
        <f t="shared" si="11"/>
        <v>0</v>
      </c>
      <c r="M53" s="148"/>
    </row>
    <row r="54" spans="3:14" x14ac:dyDescent="0.35">
      <c r="C54" s="151" t="s">
        <v>45</v>
      </c>
      <c r="D54" s="244">
        <f>D52+D53</f>
        <v>2146212</v>
      </c>
      <c r="E54" s="245"/>
      <c r="H54" s="104" t="s">
        <v>14</v>
      </c>
      <c r="I54" s="104" t="s">
        <v>21</v>
      </c>
      <c r="J54" s="148">
        <f>M10-O10-N10-L10+I10+G54</f>
        <v>758872</v>
      </c>
      <c r="K54" s="149">
        <v>758872</v>
      </c>
      <c r="L54" s="150">
        <f t="shared" si="11"/>
        <v>0</v>
      </c>
    </row>
    <row r="55" spans="3:14" x14ac:dyDescent="0.35">
      <c r="C55" s="139" t="s">
        <v>66</v>
      </c>
      <c r="D55" s="235">
        <v>0</v>
      </c>
      <c r="E55" s="236"/>
      <c r="H55" s="152" t="s">
        <v>45</v>
      </c>
      <c r="I55" s="152"/>
      <c r="J55" s="153">
        <f>SUM(J49:J54)</f>
        <v>9727424</v>
      </c>
      <c r="K55" s="154">
        <v>9727424</v>
      </c>
      <c r="L55" s="150">
        <f t="shared" si="11"/>
        <v>0</v>
      </c>
    </row>
    <row r="56" spans="3:14" x14ac:dyDescent="0.35">
      <c r="C56" s="139" t="s">
        <v>78</v>
      </c>
      <c r="D56" s="235">
        <v>0</v>
      </c>
      <c r="E56" s="236"/>
      <c r="H56" s="152"/>
      <c r="I56" s="152"/>
      <c r="J56" s="153"/>
      <c r="K56" s="155"/>
      <c r="L56" s="150"/>
    </row>
    <row r="57" spans="3:14" x14ac:dyDescent="0.35">
      <c r="C57" s="139" t="s">
        <v>75</v>
      </c>
      <c r="D57" s="235">
        <v>10000</v>
      </c>
      <c r="E57" s="236"/>
      <c r="H57" s="147" t="s">
        <v>42</v>
      </c>
      <c r="I57" s="147" t="s">
        <v>43</v>
      </c>
      <c r="J57" s="147" t="s">
        <v>44</v>
      </c>
      <c r="K57" s="146"/>
      <c r="L57" s="150"/>
    </row>
    <row r="58" spans="3:14" x14ac:dyDescent="0.35">
      <c r="C58" s="156" t="s">
        <v>83</v>
      </c>
      <c r="D58" s="227">
        <f>SUM(D55:E57)</f>
        <v>10000</v>
      </c>
      <c r="E58" s="228"/>
      <c r="H58" s="104" t="s">
        <v>46</v>
      </c>
      <c r="I58" s="104" t="s">
        <v>48</v>
      </c>
      <c r="J58" s="148">
        <f>M12-O12-N12-L12+I12</f>
        <v>482474</v>
      </c>
      <c r="K58" s="149">
        <v>468674</v>
      </c>
      <c r="L58" s="150">
        <f t="shared" si="11"/>
        <v>13800</v>
      </c>
    </row>
    <row r="59" spans="3:14" x14ac:dyDescent="0.35">
      <c r="C59" s="157" t="s">
        <v>67</v>
      </c>
      <c r="D59" s="229">
        <f>D54-D55-D57-D56</f>
        <v>2136212</v>
      </c>
      <c r="E59" s="230"/>
      <c r="H59" s="104" t="s">
        <v>46</v>
      </c>
      <c r="I59" s="104" t="s">
        <v>47</v>
      </c>
      <c r="J59" s="148">
        <f>M13-O13-N13-L13+I13</f>
        <v>2318509</v>
      </c>
      <c r="K59" s="149">
        <v>1828234</v>
      </c>
      <c r="L59" s="150">
        <f t="shared" si="11"/>
        <v>490275</v>
      </c>
      <c r="N59" s="148"/>
    </row>
    <row r="60" spans="3:14" x14ac:dyDescent="0.35">
      <c r="C60" s="158" t="s">
        <v>68</v>
      </c>
      <c r="D60" s="231"/>
      <c r="E60" s="232"/>
      <c r="H60" s="104" t="s">
        <v>46</v>
      </c>
      <c r="I60" s="104" t="s">
        <v>15</v>
      </c>
      <c r="J60" s="148">
        <f>M14-O14-N14-L14+I14</f>
        <v>379215</v>
      </c>
      <c r="K60" s="149">
        <v>431773</v>
      </c>
      <c r="L60" s="150">
        <f t="shared" si="11"/>
        <v>-52558</v>
      </c>
      <c r="M60" s="148"/>
      <c r="N60" s="148"/>
    </row>
    <row r="61" spans="3:14" x14ac:dyDescent="0.35">
      <c r="C61" s="139" t="s">
        <v>14</v>
      </c>
      <c r="D61" s="225">
        <v>0</v>
      </c>
      <c r="E61" s="226"/>
      <c r="H61" s="104" t="s">
        <v>46</v>
      </c>
      <c r="I61" s="104" t="s">
        <v>20</v>
      </c>
      <c r="J61" s="148">
        <f>M15-O15</f>
        <v>0</v>
      </c>
      <c r="K61" s="149">
        <v>8160</v>
      </c>
      <c r="L61" s="150">
        <f t="shared" si="11"/>
        <v>-8160</v>
      </c>
    </row>
    <row r="62" spans="3:14" x14ac:dyDescent="0.35">
      <c r="C62" s="139" t="s">
        <v>72</v>
      </c>
      <c r="D62" s="225">
        <v>0</v>
      </c>
      <c r="E62" s="226"/>
      <c r="H62" s="104" t="s">
        <v>27</v>
      </c>
      <c r="I62" s="104" t="s">
        <v>47</v>
      </c>
      <c r="J62" s="148">
        <f>M18-O18-N18-L18+I18</f>
        <v>51257</v>
      </c>
      <c r="K62" s="149">
        <v>51257</v>
      </c>
      <c r="L62" s="150">
        <f>J62-K62</f>
        <v>0</v>
      </c>
    </row>
    <row r="63" spans="3:14" x14ac:dyDescent="0.35">
      <c r="C63" s="139" t="s">
        <v>69</v>
      </c>
      <c r="D63" s="225">
        <v>0</v>
      </c>
      <c r="E63" s="226"/>
      <c r="H63" s="152" t="s">
        <v>45</v>
      </c>
      <c r="I63" s="152"/>
      <c r="J63" s="153">
        <f>SUM(J58:J62)</f>
        <v>3231455</v>
      </c>
      <c r="K63" s="149">
        <f>SUM(K58:K62)</f>
        <v>2788098</v>
      </c>
      <c r="L63" s="150">
        <f>J63-K63</f>
        <v>443357</v>
      </c>
    </row>
    <row r="64" spans="3:14" x14ac:dyDescent="0.35">
      <c r="C64" s="139" t="s">
        <v>70</v>
      </c>
      <c r="D64" s="225">
        <v>0</v>
      </c>
      <c r="E64" s="226"/>
      <c r="F64" s="148"/>
      <c r="H64" s="147" t="s">
        <v>42</v>
      </c>
      <c r="I64" s="147" t="s">
        <v>43</v>
      </c>
      <c r="J64" s="147" t="s">
        <v>44</v>
      </c>
    </row>
    <row r="65" spans="3:14" x14ac:dyDescent="0.35">
      <c r="C65" s="139" t="s">
        <v>71</v>
      </c>
      <c r="D65" s="225">
        <v>0</v>
      </c>
      <c r="E65" s="226"/>
      <c r="F65" s="159"/>
      <c r="G65" s="160"/>
      <c r="H65" s="104" t="s">
        <v>49</v>
      </c>
      <c r="I65" s="104" t="s">
        <v>51</v>
      </c>
      <c r="J65" s="148">
        <f>M26-O26-N26-L26+I26</f>
        <v>1676533</v>
      </c>
      <c r="K65" s="149">
        <v>1719605</v>
      </c>
      <c r="L65" s="150">
        <f t="shared" ref="L65:L71" si="12">J65-K65</f>
        <v>-43072</v>
      </c>
      <c r="N65" s="148"/>
    </row>
    <row r="66" spans="3:14" x14ac:dyDescent="0.35">
      <c r="C66" s="157" t="s">
        <v>73</v>
      </c>
      <c r="D66" s="229">
        <f>SUM(D61:D65)</f>
        <v>0</v>
      </c>
      <c r="E66" s="230"/>
      <c r="F66" s="148"/>
      <c r="H66" s="104" t="s">
        <v>49</v>
      </c>
      <c r="I66" s="104" t="s">
        <v>18</v>
      </c>
      <c r="J66" s="148">
        <f>M27-O27-N27-L27+I27</f>
        <v>174473</v>
      </c>
      <c r="K66" s="149">
        <v>174473</v>
      </c>
      <c r="L66" s="150">
        <f t="shared" si="12"/>
        <v>0</v>
      </c>
    </row>
    <row r="67" spans="3:14" x14ac:dyDescent="0.35">
      <c r="C67" s="161" t="s">
        <v>74</v>
      </c>
      <c r="D67" s="233">
        <f>D59-D66</f>
        <v>2136212</v>
      </c>
      <c r="E67" s="234"/>
      <c r="F67" s="148"/>
      <c r="H67" s="104" t="s">
        <v>49</v>
      </c>
      <c r="I67" s="104" t="s">
        <v>15</v>
      </c>
      <c r="J67" s="148">
        <f>M28-O28-N28-L28+I28</f>
        <v>35126</v>
      </c>
      <c r="K67" s="149">
        <v>35126</v>
      </c>
      <c r="L67" s="150">
        <f t="shared" si="12"/>
        <v>0</v>
      </c>
    </row>
    <row r="68" spans="3:14" x14ac:dyDescent="0.35">
      <c r="C68" s="139"/>
      <c r="D68" s="225">
        <v>3102990</v>
      </c>
      <c r="E68" s="226"/>
      <c r="H68" s="104" t="s">
        <v>49</v>
      </c>
      <c r="I68" s="104" t="s">
        <v>50</v>
      </c>
      <c r="J68" s="148">
        <f>M29-O29-N29-L29+I29</f>
        <v>1417011</v>
      </c>
      <c r="K68" s="162">
        <v>1474714</v>
      </c>
      <c r="L68" s="150">
        <f t="shared" si="12"/>
        <v>-57703</v>
      </c>
    </row>
    <row r="69" spans="3:14" x14ac:dyDescent="0.35">
      <c r="C69" s="139"/>
      <c r="D69" s="225">
        <f>D67-D68</f>
        <v>-966778</v>
      </c>
      <c r="E69" s="226"/>
      <c r="H69" s="104" t="s">
        <v>49</v>
      </c>
      <c r="I69" s="104" t="s">
        <v>20</v>
      </c>
      <c r="J69" s="148">
        <f>'Opening Balance FEB 2026'!F24</f>
        <v>66046</v>
      </c>
      <c r="K69" s="149">
        <v>66046</v>
      </c>
      <c r="L69" s="150">
        <f t="shared" si="12"/>
        <v>0</v>
      </c>
    </row>
    <row r="70" spans="3:14" x14ac:dyDescent="0.35">
      <c r="H70" s="104" t="s">
        <v>49</v>
      </c>
      <c r="I70" s="104" t="s">
        <v>47</v>
      </c>
      <c r="J70" s="148">
        <f>'Opening Balance FEB 2026'!F25</f>
        <v>23570</v>
      </c>
      <c r="K70" s="149">
        <v>23570</v>
      </c>
      <c r="L70" s="150">
        <f t="shared" si="12"/>
        <v>0</v>
      </c>
    </row>
    <row r="71" spans="3:14" x14ac:dyDescent="0.35">
      <c r="H71" s="152" t="s">
        <v>45</v>
      </c>
      <c r="I71" s="152"/>
      <c r="J71" s="153">
        <f>SUM(J65:J70)</f>
        <v>3392759</v>
      </c>
      <c r="K71" s="149">
        <v>3387759</v>
      </c>
      <c r="L71" s="150">
        <f t="shared" si="12"/>
        <v>5000</v>
      </c>
      <c r="N71" s="148"/>
    </row>
    <row r="72" spans="3:14" x14ac:dyDescent="0.35">
      <c r="H72" s="147" t="s">
        <v>42</v>
      </c>
      <c r="I72" s="147" t="s">
        <v>43</v>
      </c>
      <c r="J72" s="147" t="s">
        <v>44</v>
      </c>
    </row>
    <row r="73" spans="3:14" x14ac:dyDescent="0.35">
      <c r="H73" s="104" t="s">
        <v>52</v>
      </c>
      <c r="I73" s="104" t="s">
        <v>53</v>
      </c>
      <c r="J73" s="148">
        <f>M20-O20-N20-L20+I20-G72</f>
        <v>33969</v>
      </c>
      <c r="K73" s="148">
        <v>33969</v>
      </c>
      <c r="L73" s="150">
        <f>J73-K73</f>
        <v>0</v>
      </c>
    </row>
    <row r="74" spans="3:14" x14ac:dyDescent="0.35">
      <c r="H74" s="104" t="s">
        <v>52</v>
      </c>
      <c r="I74" s="104" t="s">
        <v>47</v>
      </c>
      <c r="J74" s="148">
        <f>M21-O21-N21-L21+I21</f>
        <v>151366</v>
      </c>
      <c r="K74" s="162">
        <v>151366</v>
      </c>
      <c r="L74" s="150">
        <f>J74-K74</f>
        <v>0</v>
      </c>
    </row>
    <row r="75" spans="3:14" x14ac:dyDescent="0.35">
      <c r="H75" s="152" t="s">
        <v>45</v>
      </c>
      <c r="I75" s="152"/>
      <c r="J75" s="153">
        <f>SUM(J73:J74)</f>
        <v>185335</v>
      </c>
      <c r="K75" s="148">
        <v>160846</v>
      </c>
      <c r="L75" s="150">
        <f>J75-K75</f>
        <v>24489</v>
      </c>
    </row>
    <row r="76" spans="3:14" x14ac:dyDescent="0.35">
      <c r="G76" s="104">
        <v>0</v>
      </c>
      <c r="H76" s="147" t="s">
        <v>42</v>
      </c>
      <c r="I76" s="147" t="s">
        <v>43</v>
      </c>
      <c r="J76" s="147" t="s">
        <v>44</v>
      </c>
      <c r="K76" s="149">
        <v>0</v>
      </c>
      <c r="L76" s="150"/>
    </row>
    <row r="77" spans="3:14" x14ac:dyDescent="0.35">
      <c r="H77" s="104" t="s">
        <v>54</v>
      </c>
      <c r="I77" s="104" t="s">
        <v>53</v>
      </c>
      <c r="J77" s="148">
        <f>M23-O23-N23-L23+I23-G76</f>
        <v>89658</v>
      </c>
      <c r="K77" s="149">
        <v>89658</v>
      </c>
      <c r="L77" s="150">
        <f>J77-K77</f>
        <v>0</v>
      </c>
    </row>
    <row r="78" spans="3:14" x14ac:dyDescent="0.35">
      <c r="H78" s="104" t="s">
        <v>54</v>
      </c>
      <c r="I78" s="104" t="s">
        <v>18</v>
      </c>
      <c r="J78" s="148">
        <f>M24-O24-N24-L24+I24</f>
        <v>17000</v>
      </c>
      <c r="K78" s="149">
        <v>67000</v>
      </c>
      <c r="L78" s="150">
        <f>J78-K78</f>
        <v>-50000</v>
      </c>
    </row>
    <row r="79" spans="3:14" x14ac:dyDescent="0.35">
      <c r="H79" s="152" t="s">
        <v>45</v>
      </c>
      <c r="I79" s="152"/>
      <c r="J79" s="153">
        <f>SUM(J77:J78)</f>
        <v>106658</v>
      </c>
      <c r="K79" s="148">
        <f>SUM(K76:K78)</f>
        <v>156658</v>
      </c>
      <c r="L79" s="150">
        <f>J79-K79</f>
        <v>-50000</v>
      </c>
    </row>
    <row r="80" spans="3:14" x14ac:dyDescent="0.35">
      <c r="H80" s="147" t="s">
        <v>42</v>
      </c>
      <c r="I80" s="147" t="s">
        <v>43</v>
      </c>
      <c r="J80" s="147" t="s">
        <v>44</v>
      </c>
      <c r="K80" s="149">
        <v>0</v>
      </c>
      <c r="L80" s="150"/>
    </row>
    <row r="81" spans="4:12" x14ac:dyDescent="0.35">
      <c r="H81" s="104" t="s">
        <v>55</v>
      </c>
      <c r="I81" s="104" t="s">
        <v>56</v>
      </c>
      <c r="J81" s="148">
        <f>'Opening Balance FEB 2026'!F36</f>
        <v>103541</v>
      </c>
      <c r="K81" s="149">
        <v>103541</v>
      </c>
      <c r="L81" s="150">
        <f>J81-K81</f>
        <v>0</v>
      </c>
    </row>
    <row r="82" spans="4:12" x14ac:dyDescent="0.35">
      <c r="H82" s="104" t="s">
        <v>55</v>
      </c>
      <c r="I82" s="104" t="s">
        <v>47</v>
      </c>
      <c r="J82" s="148">
        <f>'Opening Balance FEB 2026'!F37</f>
        <v>6013</v>
      </c>
      <c r="K82" s="149">
        <v>6013</v>
      </c>
      <c r="L82" s="150">
        <f>J82-K82</f>
        <v>0</v>
      </c>
    </row>
    <row r="83" spans="4:12" x14ac:dyDescent="0.35">
      <c r="H83" s="152" t="s">
        <v>45</v>
      </c>
      <c r="I83" s="152"/>
      <c r="J83" s="153">
        <v>109554</v>
      </c>
      <c r="K83" s="148">
        <f>SUM(K80:K82)</f>
        <v>109554</v>
      </c>
      <c r="L83" s="150">
        <f>J83-K83</f>
        <v>0</v>
      </c>
    </row>
    <row r="84" spans="4:12" x14ac:dyDescent="0.35">
      <c r="H84" s="147" t="s">
        <v>42</v>
      </c>
      <c r="I84" s="147" t="s">
        <v>43</v>
      </c>
      <c r="J84" s="147" t="s">
        <v>44</v>
      </c>
      <c r="K84" s="149">
        <v>0</v>
      </c>
      <c r="L84" s="150"/>
    </row>
    <row r="85" spans="4:12" x14ac:dyDescent="0.35">
      <c r="H85" s="104" t="s">
        <v>57</v>
      </c>
      <c r="I85" s="104" t="s">
        <v>47</v>
      </c>
      <c r="J85" s="148">
        <f>'Opening Balance FEB 2026'!F40</f>
        <v>16440</v>
      </c>
      <c r="K85" s="149">
        <v>16440</v>
      </c>
      <c r="L85" s="150">
        <f>J85-K85</f>
        <v>0</v>
      </c>
    </row>
    <row r="86" spans="4:12" x14ac:dyDescent="0.35">
      <c r="H86" s="152" t="s">
        <v>45</v>
      </c>
      <c r="I86" s="152"/>
      <c r="J86" s="153">
        <v>16440</v>
      </c>
      <c r="K86" s="149">
        <f>SUM(K84:K85)</f>
        <v>16440</v>
      </c>
    </row>
    <row r="87" spans="4:12" x14ac:dyDescent="0.35">
      <c r="J87" s="148"/>
    </row>
    <row r="88" spans="4:12" x14ac:dyDescent="0.35">
      <c r="H88" s="163" t="s">
        <v>58</v>
      </c>
      <c r="I88" s="163"/>
      <c r="J88" s="164">
        <f>J86+J83+J79+J75+J71+J63+J55</f>
        <v>16769625</v>
      </c>
    </row>
    <row r="90" spans="4:12" x14ac:dyDescent="0.35">
      <c r="D90" s="165" t="s">
        <v>82</v>
      </c>
      <c r="E90" s="165"/>
      <c r="F90" s="165"/>
      <c r="G90" s="165"/>
      <c r="H90" s="165"/>
    </row>
    <row r="91" spans="4:12" x14ac:dyDescent="0.35">
      <c r="D91" s="158" t="s">
        <v>42</v>
      </c>
      <c r="E91" s="158" t="s">
        <v>43</v>
      </c>
      <c r="F91" s="158" t="s">
        <v>79</v>
      </c>
      <c r="G91" s="158" t="s">
        <v>80</v>
      </c>
      <c r="H91" s="158" t="s">
        <v>81</v>
      </c>
    </row>
    <row r="92" spans="4:12" x14ac:dyDescent="0.35">
      <c r="D92" s="139" t="s">
        <v>14</v>
      </c>
      <c r="E92" s="139" t="s">
        <v>15</v>
      </c>
      <c r="F92" s="166">
        <f>H5</f>
        <v>75922</v>
      </c>
      <c r="G92" s="166">
        <f>O5</f>
        <v>0</v>
      </c>
      <c r="H92" s="166">
        <f>I5</f>
        <v>22286</v>
      </c>
    </row>
    <row r="93" spans="4:12" x14ac:dyDescent="0.35">
      <c r="D93" s="139" t="s">
        <v>14</v>
      </c>
      <c r="E93" s="139" t="s">
        <v>17</v>
      </c>
      <c r="F93" s="166">
        <f>H6</f>
        <v>39939</v>
      </c>
      <c r="G93" s="166">
        <f>O6</f>
        <v>0</v>
      </c>
      <c r="H93" s="166">
        <f>I6</f>
        <v>39939</v>
      </c>
    </row>
    <row r="94" spans="4:12" x14ac:dyDescent="0.35">
      <c r="D94" s="139" t="s">
        <v>14</v>
      </c>
      <c r="E94" s="139" t="s">
        <v>18</v>
      </c>
      <c r="F94" s="166">
        <f>H7</f>
        <v>148172</v>
      </c>
      <c r="G94" s="166">
        <f>O7</f>
        <v>80697</v>
      </c>
      <c r="H94" s="166">
        <f>I7</f>
        <v>136987</v>
      </c>
    </row>
    <row r="95" spans="4:12" x14ac:dyDescent="0.35">
      <c r="D95" s="139" t="s">
        <v>14</v>
      </c>
      <c r="E95" s="139" t="s">
        <v>19</v>
      </c>
      <c r="F95" s="166">
        <f>H8</f>
        <v>78053</v>
      </c>
      <c r="G95" s="166">
        <f>O8</f>
        <v>59998</v>
      </c>
      <c r="H95" s="166">
        <f>I8</f>
        <v>63830</v>
      </c>
    </row>
    <row r="96" spans="4:12" x14ac:dyDescent="0.35">
      <c r="D96" s="139" t="s">
        <v>14</v>
      </c>
      <c r="E96" s="139" t="s">
        <v>20</v>
      </c>
      <c r="F96" s="166">
        <f>H9</f>
        <v>161816</v>
      </c>
      <c r="G96" s="166">
        <f>O9</f>
        <v>21234</v>
      </c>
      <c r="H96" s="166">
        <f>I9</f>
        <v>63522</v>
      </c>
    </row>
    <row r="97" spans="4:8" x14ac:dyDescent="0.35">
      <c r="D97" s="139" t="s">
        <v>14</v>
      </c>
      <c r="E97" s="139" t="s">
        <v>21</v>
      </c>
      <c r="F97" s="166" t="e">
        <f>#REF!+#REF!</f>
        <v>#REF!</v>
      </c>
      <c r="G97" s="166" t="e">
        <f>#REF!</f>
        <v>#REF!</v>
      </c>
      <c r="H97" s="166" t="e">
        <f>#REF!</f>
        <v>#REF!</v>
      </c>
    </row>
    <row r="98" spans="4:8" x14ac:dyDescent="0.35">
      <c r="D98" s="167" t="s">
        <v>45</v>
      </c>
      <c r="E98" s="167"/>
      <c r="F98" s="168" t="e">
        <f>SUM(F92:F97)</f>
        <v>#REF!</v>
      </c>
      <c r="G98" s="168" t="e">
        <f t="shared" ref="G98" si="13">SUM(G92:G97)</f>
        <v>#REF!</v>
      </c>
      <c r="H98" s="168" t="e">
        <f>SUM(H92:H97)</f>
        <v>#REF!</v>
      </c>
    </row>
    <row r="99" spans="4:8" x14ac:dyDescent="0.35">
      <c r="D99" s="158" t="s">
        <v>42</v>
      </c>
      <c r="E99" s="158" t="s">
        <v>43</v>
      </c>
      <c r="F99" s="169" t="s">
        <v>79</v>
      </c>
      <c r="G99" s="169" t="s">
        <v>80</v>
      </c>
      <c r="H99" s="169" t="s">
        <v>81</v>
      </c>
    </row>
    <row r="100" spans="4:8" x14ac:dyDescent="0.35">
      <c r="D100" s="139" t="s">
        <v>46</v>
      </c>
      <c r="E100" s="139" t="s">
        <v>48</v>
      </c>
      <c r="F100" s="166">
        <f>H12</f>
        <v>144757</v>
      </c>
      <c r="G100" s="166">
        <f>O12</f>
        <v>73648</v>
      </c>
      <c r="H100" s="166">
        <f>I12</f>
        <v>54045</v>
      </c>
    </row>
    <row r="101" spans="4:8" x14ac:dyDescent="0.35">
      <c r="D101" s="139" t="s">
        <v>46</v>
      </c>
      <c r="E101" s="139" t="s">
        <v>47</v>
      </c>
      <c r="F101" s="166">
        <f>H13</f>
        <v>788283</v>
      </c>
      <c r="G101" s="166">
        <f>O13</f>
        <v>100070</v>
      </c>
      <c r="H101" s="166">
        <f>I13</f>
        <v>779830</v>
      </c>
    </row>
    <row r="102" spans="4:8" x14ac:dyDescent="0.35">
      <c r="D102" s="139" t="s">
        <v>27</v>
      </c>
      <c r="E102" s="139" t="s">
        <v>47</v>
      </c>
      <c r="F102" s="166">
        <v>0</v>
      </c>
      <c r="G102" s="166">
        <v>0</v>
      </c>
      <c r="H102" s="166">
        <v>0</v>
      </c>
    </row>
    <row r="103" spans="4:8" x14ac:dyDescent="0.35">
      <c r="D103" s="167" t="s">
        <v>45</v>
      </c>
      <c r="E103" s="167"/>
      <c r="F103" s="168">
        <f>SUM(F100:F102)</f>
        <v>933040</v>
      </c>
      <c r="G103" s="168">
        <f>SUM(G100:G102)</f>
        <v>173718</v>
      </c>
      <c r="H103" s="168">
        <f>SUM(H100:H102)</f>
        <v>833875</v>
      </c>
    </row>
    <row r="104" spans="4:8" x14ac:dyDescent="0.35">
      <c r="D104" s="158" t="s">
        <v>42</v>
      </c>
      <c r="E104" s="158" t="s">
        <v>43</v>
      </c>
      <c r="F104" s="169" t="s">
        <v>79</v>
      </c>
      <c r="G104" s="169" t="s">
        <v>80</v>
      </c>
      <c r="H104" s="169" t="s">
        <v>81</v>
      </c>
    </row>
    <row r="105" spans="4:8" x14ac:dyDescent="0.35">
      <c r="D105" s="139" t="s">
        <v>49</v>
      </c>
      <c r="E105" s="139" t="s">
        <v>51</v>
      </c>
      <c r="F105" s="166" t="e">
        <f>#REF!</f>
        <v>#REF!</v>
      </c>
      <c r="G105" s="166" t="e">
        <f>#REF!</f>
        <v>#REF!</v>
      </c>
      <c r="H105" s="166" t="e">
        <f>#REF!</f>
        <v>#REF!</v>
      </c>
    </row>
    <row r="106" spans="4:8" x14ac:dyDescent="0.35">
      <c r="D106" s="139" t="s">
        <v>49</v>
      </c>
      <c r="E106" s="139" t="s">
        <v>18</v>
      </c>
      <c r="F106" s="166">
        <f>H27</f>
        <v>0</v>
      </c>
      <c r="G106" s="166">
        <f>O27</f>
        <v>0</v>
      </c>
      <c r="H106" s="166">
        <v>0</v>
      </c>
    </row>
    <row r="107" spans="4:8" x14ac:dyDescent="0.35">
      <c r="D107" s="139" t="s">
        <v>49</v>
      </c>
      <c r="E107" s="139" t="s">
        <v>50</v>
      </c>
      <c r="F107" s="166" t="e">
        <f>#REF!+#REF!</f>
        <v>#REF!</v>
      </c>
      <c r="G107" s="166" t="e">
        <f>#REF!</f>
        <v>#REF!</v>
      </c>
      <c r="H107" s="166" t="e">
        <f>#REF!+#REF!</f>
        <v>#REF!</v>
      </c>
    </row>
    <row r="108" spans="4:8" x14ac:dyDescent="0.35">
      <c r="D108" s="167" t="s">
        <v>45</v>
      </c>
      <c r="E108" s="167"/>
      <c r="F108" s="168" t="e">
        <f>SUM(F105:F107)</f>
        <v>#REF!</v>
      </c>
      <c r="G108" s="168" t="e">
        <f>SUM(G105:G107)</f>
        <v>#REF!</v>
      </c>
      <c r="H108" s="168" t="e">
        <f>SUM(H105:H107)</f>
        <v>#REF!</v>
      </c>
    </row>
    <row r="109" spans="4:8" x14ac:dyDescent="0.35">
      <c r="D109" s="158" t="s">
        <v>42</v>
      </c>
      <c r="E109" s="158" t="s">
        <v>43</v>
      </c>
      <c r="F109" s="169" t="s">
        <v>79</v>
      </c>
      <c r="G109" s="169" t="s">
        <v>80</v>
      </c>
      <c r="H109" s="169" t="s">
        <v>81</v>
      </c>
    </row>
    <row r="110" spans="4:8" x14ac:dyDescent="0.35">
      <c r="D110" s="139" t="s">
        <v>52</v>
      </c>
      <c r="E110" s="139" t="s">
        <v>53</v>
      </c>
      <c r="F110" s="166">
        <f>H20</f>
        <v>0</v>
      </c>
      <c r="G110" s="166">
        <f>O20</f>
        <v>0</v>
      </c>
      <c r="H110" s="166">
        <f>I20</f>
        <v>0</v>
      </c>
    </row>
    <row r="111" spans="4:8" x14ac:dyDescent="0.35">
      <c r="D111" s="167" t="s">
        <v>45</v>
      </c>
      <c r="E111" s="167"/>
      <c r="F111" s="168">
        <f>SUM(F110)</f>
        <v>0</v>
      </c>
      <c r="G111" s="168">
        <f t="shared" ref="G111" si="14">SUM(G110)</f>
        <v>0</v>
      </c>
      <c r="H111" s="168">
        <f>SUM(H110)</f>
        <v>0</v>
      </c>
    </row>
    <row r="112" spans="4:8" x14ac:dyDescent="0.35">
      <c r="D112" s="158" t="s">
        <v>42</v>
      </c>
      <c r="E112" s="158" t="s">
        <v>43</v>
      </c>
      <c r="F112" s="169" t="s">
        <v>79</v>
      </c>
      <c r="G112" s="169" t="s">
        <v>80</v>
      </c>
      <c r="H112" s="169" t="s">
        <v>81</v>
      </c>
    </row>
    <row r="113" spans="4:8" x14ac:dyDescent="0.35">
      <c r="D113" s="139" t="s">
        <v>54</v>
      </c>
      <c r="E113" s="139" t="s">
        <v>53</v>
      </c>
      <c r="F113" s="166">
        <f>H23</f>
        <v>0</v>
      </c>
      <c r="G113" s="166">
        <f>O23</f>
        <v>0</v>
      </c>
      <c r="H113" s="166">
        <f>I23</f>
        <v>0</v>
      </c>
    </row>
    <row r="114" spans="4:8" x14ac:dyDescent="0.35">
      <c r="D114" s="139" t="s">
        <v>54</v>
      </c>
      <c r="E114" s="139" t="s">
        <v>18</v>
      </c>
      <c r="F114" s="166">
        <f>H24</f>
        <v>0</v>
      </c>
      <c r="G114" s="166">
        <f>O24</f>
        <v>0</v>
      </c>
      <c r="H114" s="166">
        <f>I24</f>
        <v>0</v>
      </c>
    </row>
    <row r="115" spans="4:8" x14ac:dyDescent="0.35">
      <c r="D115" s="167" t="s">
        <v>45</v>
      </c>
      <c r="E115" s="167"/>
      <c r="F115" s="168">
        <f>SUM(F113:F114)</f>
        <v>0</v>
      </c>
      <c r="G115" s="168">
        <f t="shared" ref="G115" si="15">SUM(G113:G114)</f>
        <v>0</v>
      </c>
      <c r="H115" s="168">
        <f>SUM(H113:H114)</f>
        <v>0</v>
      </c>
    </row>
    <row r="116" spans="4:8" x14ac:dyDescent="0.35">
      <c r="D116" s="170"/>
      <c r="E116" s="170"/>
      <c r="F116" s="171" t="e">
        <f>F115+F111+F108+F103+F98</f>
        <v>#REF!</v>
      </c>
      <c r="G116" s="171" t="e">
        <f t="shared" ref="G116" si="16">G115+G111+G108+G103+G98</f>
        <v>#REF!</v>
      </c>
      <c r="H116" s="171" t="e">
        <f>H115+H111+H108+H103+H98</f>
        <v>#REF!</v>
      </c>
    </row>
  </sheetData>
  <mergeCells count="43">
    <mergeCell ref="M42:O42"/>
    <mergeCell ref="C2:O2"/>
    <mergeCell ref="C3:O3"/>
    <mergeCell ref="H32:I32"/>
    <mergeCell ref="K33:L33"/>
    <mergeCell ref="M33:O33"/>
    <mergeCell ref="C34:D34"/>
    <mergeCell ref="K34:L34"/>
    <mergeCell ref="K35:L35"/>
    <mergeCell ref="K36:L36"/>
    <mergeCell ref="K37:L37"/>
    <mergeCell ref="K38:L38"/>
    <mergeCell ref="K42:L42"/>
    <mergeCell ref="K43:L43"/>
    <mergeCell ref="M43:O43"/>
    <mergeCell ref="K44:L44"/>
    <mergeCell ref="M44:O44"/>
    <mergeCell ref="K45:L45"/>
    <mergeCell ref="M45:O45"/>
    <mergeCell ref="D57:E57"/>
    <mergeCell ref="K46:L46"/>
    <mergeCell ref="M46:O46"/>
    <mergeCell ref="H47:J47"/>
    <mergeCell ref="K47:K48"/>
    <mergeCell ref="C50:E50"/>
    <mergeCell ref="C51:E51"/>
    <mergeCell ref="D52:E52"/>
    <mergeCell ref="D53:E53"/>
    <mergeCell ref="D54:E54"/>
    <mergeCell ref="D55:E55"/>
    <mergeCell ref="D56:E56"/>
    <mergeCell ref="D69:E69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</mergeCell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21"/>
  <sheetViews>
    <sheetView zoomScale="56" zoomScaleNormal="56" workbookViewId="0">
      <selection activeCell="I5" sqref="I5"/>
    </sheetView>
  </sheetViews>
  <sheetFormatPr defaultRowHeight="21" x14ac:dyDescent="0.35"/>
  <cols>
    <col min="1" max="1" width="5.5703125" style="42" customWidth="1"/>
    <col min="2" max="2" width="0.140625" style="42" hidden="1" customWidth="1"/>
    <col min="3" max="3" width="20.85546875" style="42" customWidth="1"/>
    <col min="4" max="4" width="26.42578125" style="42" customWidth="1"/>
    <col min="5" max="5" width="18.140625" style="42" customWidth="1"/>
    <col min="6" max="6" width="32.28515625" style="42" bestFit="1" customWidth="1"/>
    <col min="7" max="7" width="21" style="42" customWidth="1"/>
    <col min="8" max="8" width="22.85546875" style="42" customWidth="1"/>
    <col min="9" max="9" width="23.5703125" style="42" customWidth="1"/>
    <col min="10" max="10" width="26.5703125" style="42" bestFit="1" customWidth="1"/>
    <col min="11" max="11" width="21.28515625" style="42" customWidth="1"/>
    <col min="12" max="12" width="22.5703125" style="42" customWidth="1"/>
    <col min="13" max="13" width="26.42578125" style="42" customWidth="1"/>
    <col min="14" max="14" width="17.5703125" style="42" customWidth="1"/>
    <col min="15" max="15" width="22" style="42" customWidth="1"/>
    <col min="16" max="16" width="7.5703125" style="42" customWidth="1"/>
    <col min="17" max="17" width="14.28515625" style="42" bestFit="1" customWidth="1"/>
    <col min="18" max="18" width="11.42578125" style="42" customWidth="1"/>
    <col min="19" max="16384" width="9.140625" style="42"/>
  </cols>
  <sheetData>
    <row r="2" spans="1:16" x14ac:dyDescent="0.35">
      <c r="C2" s="194">
        <v>46100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6"/>
    </row>
    <row r="3" spans="1:16" x14ac:dyDescent="0.35">
      <c r="C3" s="197" t="s">
        <v>0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6" ht="63" x14ac:dyDescent="0.35">
      <c r="A4" s="175"/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  <c r="J4" s="40" t="s">
        <v>8</v>
      </c>
      <c r="K4" s="43" t="s">
        <v>9</v>
      </c>
      <c r="L4" s="43" t="s">
        <v>10</v>
      </c>
      <c r="M4" s="44" t="s">
        <v>11</v>
      </c>
      <c r="N4" s="45" t="s">
        <v>12</v>
      </c>
      <c r="O4" s="40" t="s">
        <v>13</v>
      </c>
    </row>
    <row r="5" spans="1:16" x14ac:dyDescent="0.35">
      <c r="A5" s="46"/>
      <c r="C5" s="37" t="s">
        <v>14</v>
      </c>
      <c r="D5" s="38" t="s">
        <v>15</v>
      </c>
      <c r="E5" s="39" t="s">
        <v>86</v>
      </c>
      <c r="F5" s="27">
        <v>46856</v>
      </c>
      <c r="G5" s="27">
        <v>0</v>
      </c>
      <c r="H5" s="28">
        <f>F5-G5</f>
        <v>46856</v>
      </c>
      <c r="I5" s="28">
        <f>H5-J5</f>
        <v>46553</v>
      </c>
      <c r="J5" s="25">
        <v>303</v>
      </c>
      <c r="K5" s="29">
        <v>0</v>
      </c>
      <c r="L5" s="25">
        <v>0</v>
      </c>
      <c r="M5" s="27">
        <f>'18-03-2026'!J49</f>
        <v>383644</v>
      </c>
      <c r="N5" s="29">
        <v>0</v>
      </c>
      <c r="O5" s="30">
        <v>0</v>
      </c>
      <c r="P5" s="47"/>
    </row>
    <row r="6" spans="1:16" x14ac:dyDescent="0.35">
      <c r="A6" s="46"/>
      <c r="C6" s="37" t="s">
        <v>14</v>
      </c>
      <c r="D6" s="38" t="s">
        <v>17</v>
      </c>
      <c r="E6" s="39" t="s">
        <v>98</v>
      </c>
      <c r="F6" s="27">
        <v>195817</v>
      </c>
      <c r="G6" s="27">
        <v>0</v>
      </c>
      <c r="H6" s="28">
        <f t="shared" ref="H6:H12" si="0">F6-G6</f>
        <v>195817</v>
      </c>
      <c r="I6" s="28">
        <f t="shared" ref="I6:I12" si="1">H6-J6</f>
        <v>195817</v>
      </c>
      <c r="J6" s="25">
        <v>0</v>
      </c>
      <c r="K6" s="29">
        <v>0</v>
      </c>
      <c r="L6" s="25">
        <v>0</v>
      </c>
      <c r="M6" s="27">
        <f>'18-03-2026'!J50</f>
        <v>3699143</v>
      </c>
      <c r="N6" s="29">
        <v>0</v>
      </c>
      <c r="O6" s="30">
        <v>0</v>
      </c>
    </row>
    <row r="7" spans="1:16" x14ac:dyDescent="0.35">
      <c r="A7" s="46"/>
      <c r="C7" s="37" t="s">
        <v>14</v>
      </c>
      <c r="D7" s="38" t="s">
        <v>18</v>
      </c>
      <c r="E7" s="39" t="s">
        <v>95</v>
      </c>
      <c r="F7" s="27">
        <v>113070</v>
      </c>
      <c r="G7" s="27">
        <v>0</v>
      </c>
      <c r="H7" s="28">
        <f t="shared" si="0"/>
        <v>113070</v>
      </c>
      <c r="I7" s="28">
        <f t="shared" si="1"/>
        <v>93380</v>
      </c>
      <c r="J7" s="25">
        <v>19690</v>
      </c>
      <c r="K7" s="29">
        <v>0</v>
      </c>
      <c r="L7" s="25">
        <v>0</v>
      </c>
      <c r="M7" s="27">
        <f>'18-03-2026'!J51</f>
        <v>1965215</v>
      </c>
      <c r="N7" s="29">
        <v>0</v>
      </c>
      <c r="O7" s="30">
        <v>35123</v>
      </c>
    </row>
    <row r="8" spans="1:16" x14ac:dyDescent="0.35">
      <c r="A8" s="46"/>
      <c r="C8" s="37" t="s">
        <v>14</v>
      </c>
      <c r="D8" s="38" t="s">
        <v>18</v>
      </c>
      <c r="E8" s="39" t="s">
        <v>93</v>
      </c>
      <c r="F8" s="27">
        <v>39032</v>
      </c>
      <c r="G8" s="27">
        <v>0</v>
      </c>
      <c r="H8" s="28">
        <f t="shared" si="0"/>
        <v>39032</v>
      </c>
      <c r="I8" s="28">
        <f t="shared" si="1"/>
        <v>39032</v>
      </c>
      <c r="J8" s="25">
        <v>0</v>
      </c>
      <c r="K8" s="29">
        <v>0</v>
      </c>
      <c r="L8" s="25">
        <v>0</v>
      </c>
      <c r="M8" s="27">
        <v>0</v>
      </c>
      <c r="N8" s="29">
        <v>0</v>
      </c>
      <c r="O8" s="30">
        <v>0</v>
      </c>
    </row>
    <row r="9" spans="1:16" x14ac:dyDescent="0.35">
      <c r="A9" s="46"/>
      <c r="C9" s="37" t="s">
        <v>14</v>
      </c>
      <c r="D9" s="38" t="s">
        <v>19</v>
      </c>
      <c r="E9" s="39" t="s">
        <v>86</v>
      </c>
      <c r="F9" s="27">
        <v>99652</v>
      </c>
      <c r="G9" s="27">
        <v>2314</v>
      </c>
      <c r="H9" s="28">
        <f t="shared" si="0"/>
        <v>97338</v>
      </c>
      <c r="I9" s="28">
        <f t="shared" si="1"/>
        <v>86268</v>
      </c>
      <c r="J9" s="25">
        <v>11070</v>
      </c>
      <c r="K9" s="29">
        <v>0</v>
      </c>
      <c r="L9" s="25">
        <v>0</v>
      </c>
      <c r="M9" s="27">
        <f>'18-03-2026'!J52</f>
        <v>1417462</v>
      </c>
      <c r="N9" s="29">
        <v>0</v>
      </c>
      <c r="O9" s="30">
        <v>92261</v>
      </c>
    </row>
    <row r="10" spans="1:16" x14ac:dyDescent="0.35">
      <c r="A10" s="46"/>
      <c r="C10" s="37" t="s">
        <v>14</v>
      </c>
      <c r="D10" s="38" t="s">
        <v>20</v>
      </c>
      <c r="E10" s="39" t="s">
        <v>97</v>
      </c>
      <c r="F10" s="27">
        <v>54880</v>
      </c>
      <c r="G10" s="27">
        <v>0</v>
      </c>
      <c r="H10" s="28">
        <f t="shared" si="0"/>
        <v>54880</v>
      </c>
      <c r="I10" s="28">
        <f t="shared" si="1"/>
        <v>20673</v>
      </c>
      <c r="J10" s="25">
        <v>34207</v>
      </c>
      <c r="K10" s="29">
        <v>0</v>
      </c>
      <c r="L10" s="25">
        <v>0</v>
      </c>
      <c r="M10" s="27">
        <f>'18-03-2026'!J53</f>
        <v>1503088</v>
      </c>
      <c r="N10" s="29">
        <v>0</v>
      </c>
      <c r="O10" s="30">
        <v>21023</v>
      </c>
    </row>
    <row r="11" spans="1:16" x14ac:dyDescent="0.35">
      <c r="A11" s="46"/>
      <c r="C11" s="37" t="s">
        <v>14</v>
      </c>
      <c r="D11" s="38" t="s">
        <v>21</v>
      </c>
      <c r="E11" s="39" t="s">
        <v>98</v>
      </c>
      <c r="F11" s="27">
        <v>99303</v>
      </c>
      <c r="G11" s="27">
        <v>0</v>
      </c>
      <c r="H11" s="28">
        <f t="shared" si="0"/>
        <v>99303</v>
      </c>
      <c r="I11" s="28">
        <f t="shared" si="1"/>
        <v>82610</v>
      </c>
      <c r="J11" s="25">
        <v>16693</v>
      </c>
      <c r="K11" s="29">
        <v>0</v>
      </c>
      <c r="L11" s="25">
        <v>1000</v>
      </c>
      <c r="M11" s="27">
        <f>'18-03-2026'!J54</f>
        <v>758872</v>
      </c>
      <c r="N11" s="29">
        <v>0</v>
      </c>
      <c r="O11" s="30">
        <v>43116</v>
      </c>
    </row>
    <row r="12" spans="1:16" x14ac:dyDescent="0.35">
      <c r="A12" s="46"/>
      <c r="C12" s="37" t="s">
        <v>14</v>
      </c>
      <c r="D12" s="38" t="s">
        <v>21</v>
      </c>
      <c r="E12" s="39" t="s">
        <v>93</v>
      </c>
      <c r="F12" s="27">
        <v>1077</v>
      </c>
      <c r="G12" s="27">
        <v>0</v>
      </c>
      <c r="H12" s="28">
        <f t="shared" si="0"/>
        <v>1077</v>
      </c>
      <c r="I12" s="28">
        <f t="shared" si="1"/>
        <v>0</v>
      </c>
      <c r="J12" s="25">
        <v>1077</v>
      </c>
      <c r="K12" s="29">
        <v>0</v>
      </c>
      <c r="L12" s="25">
        <v>0</v>
      </c>
      <c r="M12" s="27">
        <v>0</v>
      </c>
      <c r="N12" s="29">
        <v>0</v>
      </c>
      <c r="O12" s="30">
        <v>0</v>
      </c>
    </row>
    <row r="13" spans="1:16" x14ac:dyDescent="0.35">
      <c r="A13" s="48"/>
      <c r="C13" s="40" t="s">
        <v>22</v>
      </c>
      <c r="D13" s="40"/>
      <c r="E13" s="40"/>
      <c r="F13" s="31">
        <f t="shared" ref="F13:L13" si="2">SUM(F5:F12)</f>
        <v>649687</v>
      </c>
      <c r="G13" s="31">
        <f t="shared" si="2"/>
        <v>2314</v>
      </c>
      <c r="H13" s="31">
        <f t="shared" si="2"/>
        <v>647373</v>
      </c>
      <c r="I13" s="31">
        <f t="shared" si="2"/>
        <v>564333</v>
      </c>
      <c r="J13" s="31">
        <f t="shared" si="2"/>
        <v>83040</v>
      </c>
      <c r="K13" s="31">
        <f t="shared" si="2"/>
        <v>0</v>
      </c>
      <c r="L13" s="31">
        <f t="shared" si="2"/>
        <v>1000</v>
      </c>
      <c r="M13" s="176">
        <f>SUM(M5:M11)</f>
        <v>9727424</v>
      </c>
      <c r="N13" s="31">
        <f>SUM(N5:N12)</f>
        <v>0</v>
      </c>
      <c r="O13" s="31">
        <f>SUM(O5:O12)</f>
        <v>191523</v>
      </c>
    </row>
    <row r="14" spans="1:16" x14ac:dyDescent="0.35">
      <c r="C14" s="37" t="s">
        <v>23</v>
      </c>
      <c r="D14" s="38" t="s">
        <v>24</v>
      </c>
      <c r="E14" s="39" t="s">
        <v>84</v>
      </c>
      <c r="F14" s="27">
        <v>145014</v>
      </c>
      <c r="G14" s="27">
        <v>5491</v>
      </c>
      <c r="H14" s="28">
        <f t="shared" ref="H14:H34" si="3">F14-G14</f>
        <v>139523</v>
      </c>
      <c r="I14" s="28">
        <f t="shared" ref="I14:I34" si="4">H14-J14</f>
        <v>25448</v>
      </c>
      <c r="J14" s="25">
        <v>114075</v>
      </c>
      <c r="K14" s="29">
        <v>93</v>
      </c>
      <c r="L14" s="25">
        <v>0</v>
      </c>
      <c r="M14" s="27">
        <f>'18-03-2026'!J58</f>
        <v>482474</v>
      </c>
      <c r="N14" s="29">
        <v>0</v>
      </c>
      <c r="O14" s="25">
        <v>32681</v>
      </c>
    </row>
    <row r="15" spans="1:16" x14ac:dyDescent="0.35">
      <c r="C15" s="37" t="s">
        <v>23</v>
      </c>
      <c r="D15" s="38" t="s">
        <v>25</v>
      </c>
      <c r="E15" s="39" t="s">
        <v>85</v>
      </c>
      <c r="F15" s="27">
        <v>174166</v>
      </c>
      <c r="G15" s="27">
        <v>0</v>
      </c>
      <c r="H15" s="28">
        <f t="shared" si="3"/>
        <v>174166</v>
      </c>
      <c r="I15" s="28">
        <f t="shared" si="4"/>
        <v>127414</v>
      </c>
      <c r="J15" s="25">
        <v>46752</v>
      </c>
      <c r="K15" s="29">
        <v>0</v>
      </c>
      <c r="L15" s="25">
        <v>0</v>
      </c>
      <c r="M15" s="27">
        <f>'18-03-2026'!J59</f>
        <v>2318509</v>
      </c>
      <c r="N15" s="29">
        <v>0</v>
      </c>
      <c r="O15" s="25">
        <v>105920</v>
      </c>
    </row>
    <row r="16" spans="1:16" x14ac:dyDescent="0.35">
      <c r="C16" s="37" t="s">
        <v>23</v>
      </c>
      <c r="D16" s="38" t="s">
        <v>26</v>
      </c>
      <c r="E16" s="39" t="s">
        <v>15</v>
      </c>
      <c r="F16" s="27">
        <v>0</v>
      </c>
      <c r="G16" s="27">
        <v>0</v>
      </c>
      <c r="H16" s="28">
        <f t="shared" si="3"/>
        <v>0</v>
      </c>
      <c r="I16" s="28">
        <f t="shared" si="4"/>
        <v>0</v>
      </c>
      <c r="J16" s="25">
        <v>0</v>
      </c>
      <c r="K16" s="29">
        <v>0</v>
      </c>
      <c r="L16" s="25">
        <v>0</v>
      </c>
      <c r="M16" s="27">
        <f>'18-03-2026'!J60</f>
        <v>379215</v>
      </c>
      <c r="N16" s="29">
        <v>0</v>
      </c>
      <c r="O16" s="25">
        <v>0</v>
      </c>
    </row>
    <row r="17" spans="3:15" x14ac:dyDescent="0.35">
      <c r="C17" s="37" t="s">
        <v>23</v>
      </c>
      <c r="D17" s="38" t="s">
        <v>20</v>
      </c>
      <c r="E17" s="39" t="s">
        <v>97</v>
      </c>
      <c r="F17" s="27">
        <v>6762</v>
      </c>
      <c r="G17" s="27">
        <v>0</v>
      </c>
      <c r="H17" s="28">
        <f t="shared" si="3"/>
        <v>6762</v>
      </c>
      <c r="I17" s="28">
        <f t="shared" si="4"/>
        <v>0</v>
      </c>
      <c r="J17" s="25">
        <v>6762</v>
      </c>
      <c r="K17" s="29">
        <v>0</v>
      </c>
      <c r="L17" s="25">
        <v>0</v>
      </c>
      <c r="M17" s="27">
        <v>0</v>
      </c>
      <c r="N17" s="29">
        <v>0</v>
      </c>
      <c r="O17" s="25">
        <v>0</v>
      </c>
    </row>
    <row r="18" spans="3:15" x14ac:dyDescent="0.35">
      <c r="C18" s="37" t="s">
        <v>23</v>
      </c>
      <c r="D18" s="38" t="s">
        <v>18</v>
      </c>
      <c r="E18" s="39" t="s">
        <v>97</v>
      </c>
      <c r="F18" s="27">
        <v>0</v>
      </c>
      <c r="G18" s="27">
        <v>0</v>
      </c>
      <c r="H18" s="28">
        <f t="shared" si="3"/>
        <v>0</v>
      </c>
      <c r="I18" s="28">
        <f t="shared" si="4"/>
        <v>0</v>
      </c>
      <c r="J18" s="25">
        <v>0</v>
      </c>
      <c r="K18" s="29">
        <v>0</v>
      </c>
      <c r="L18" s="25">
        <v>0</v>
      </c>
      <c r="M18" s="27">
        <v>0</v>
      </c>
      <c r="N18" s="29">
        <v>0</v>
      </c>
      <c r="O18" s="25">
        <v>0</v>
      </c>
    </row>
    <row r="19" spans="3:15" x14ac:dyDescent="0.35">
      <c r="C19" s="37" t="s">
        <v>23</v>
      </c>
      <c r="D19" s="40"/>
      <c r="E19" s="40"/>
      <c r="F19" s="31">
        <f>SUM(F14:F18)</f>
        <v>325942</v>
      </c>
      <c r="G19" s="31">
        <f>SUM(G14:G18)</f>
        <v>5491</v>
      </c>
      <c r="H19" s="31">
        <f>SUM(H14:H17)</f>
        <v>320451</v>
      </c>
      <c r="I19" s="31">
        <f>SUM(I14:I17)</f>
        <v>152862</v>
      </c>
      <c r="J19" s="31">
        <f>SUM(J14:J18)</f>
        <v>167589</v>
      </c>
      <c r="K19" s="31">
        <f>SUM(K14:K17)</f>
        <v>93</v>
      </c>
      <c r="L19" s="31">
        <f>SUM(L14:L17)</f>
        <v>0</v>
      </c>
      <c r="M19" s="31">
        <f>SUM(M14:M18)</f>
        <v>3180198</v>
      </c>
      <c r="N19" s="31">
        <f>SUM(N14:N17)</f>
        <v>0</v>
      </c>
      <c r="O19" s="31">
        <f>SUM(O14:O18)</f>
        <v>138601</v>
      </c>
    </row>
    <row r="20" spans="3:15" x14ac:dyDescent="0.35">
      <c r="C20" s="37" t="s">
        <v>27</v>
      </c>
      <c r="D20" s="38" t="s">
        <v>25</v>
      </c>
      <c r="E20" s="39" t="s">
        <v>16</v>
      </c>
      <c r="F20" s="27">
        <v>0</v>
      </c>
      <c r="G20" s="27">
        <v>0</v>
      </c>
      <c r="H20" s="28">
        <f t="shared" si="3"/>
        <v>0</v>
      </c>
      <c r="I20" s="28">
        <f t="shared" si="4"/>
        <v>0</v>
      </c>
      <c r="J20" s="25">
        <v>0</v>
      </c>
      <c r="K20" s="29">
        <v>0</v>
      </c>
      <c r="L20" s="25">
        <v>0</v>
      </c>
      <c r="M20" s="27">
        <f>'18-03-2026'!J62</f>
        <v>51257</v>
      </c>
      <c r="N20" s="29">
        <v>0</v>
      </c>
      <c r="O20" s="25">
        <v>0</v>
      </c>
    </row>
    <row r="21" spans="3:15" x14ac:dyDescent="0.35">
      <c r="C21" s="40"/>
      <c r="D21" s="40"/>
      <c r="E21" s="40"/>
      <c r="F21" s="31">
        <f>SUM(F20)</f>
        <v>0</v>
      </c>
      <c r="G21" s="31">
        <f t="shared" ref="G21:O21" si="5">SUM(G20)</f>
        <v>0</v>
      </c>
      <c r="H21" s="31">
        <f t="shared" si="5"/>
        <v>0</v>
      </c>
      <c r="I21" s="31">
        <f t="shared" si="5"/>
        <v>0</v>
      </c>
      <c r="J21" s="31">
        <f t="shared" si="5"/>
        <v>0</v>
      </c>
      <c r="K21" s="31">
        <f t="shared" si="5"/>
        <v>0</v>
      </c>
      <c r="L21" s="31">
        <f t="shared" si="5"/>
        <v>0</v>
      </c>
      <c r="M21" s="31">
        <f>SUM(M20)</f>
        <v>51257</v>
      </c>
      <c r="N21" s="31">
        <f t="shared" si="5"/>
        <v>0</v>
      </c>
      <c r="O21" s="31">
        <f t="shared" si="5"/>
        <v>0</v>
      </c>
    </row>
    <row r="22" spans="3:15" x14ac:dyDescent="0.35">
      <c r="C22" s="37" t="s">
        <v>28</v>
      </c>
      <c r="D22" s="38" t="s">
        <v>29</v>
      </c>
      <c r="E22" s="39" t="s">
        <v>16</v>
      </c>
      <c r="F22" s="27">
        <v>0</v>
      </c>
      <c r="G22" s="27">
        <v>0</v>
      </c>
      <c r="H22" s="28">
        <f t="shared" si="3"/>
        <v>0</v>
      </c>
      <c r="I22" s="28">
        <f t="shared" si="4"/>
        <v>0</v>
      </c>
      <c r="J22" s="25">
        <v>0</v>
      </c>
      <c r="K22" s="29">
        <v>0</v>
      </c>
      <c r="L22" s="25">
        <v>0</v>
      </c>
      <c r="M22" s="27">
        <f>'18-03-2026'!J73</f>
        <v>33969</v>
      </c>
      <c r="N22" s="29">
        <v>0</v>
      </c>
      <c r="O22" s="25">
        <v>0</v>
      </c>
    </row>
    <row r="23" spans="3:15" x14ac:dyDescent="0.35">
      <c r="C23" s="37" t="s">
        <v>28</v>
      </c>
      <c r="D23" s="38" t="s">
        <v>25</v>
      </c>
      <c r="E23" s="39" t="s">
        <v>16</v>
      </c>
      <c r="F23" s="27">
        <v>0</v>
      </c>
      <c r="G23" s="27">
        <v>0</v>
      </c>
      <c r="H23" s="28">
        <f t="shared" si="3"/>
        <v>0</v>
      </c>
      <c r="I23" s="28">
        <f t="shared" si="4"/>
        <v>0</v>
      </c>
      <c r="J23" s="25">
        <v>0</v>
      </c>
      <c r="K23" s="29">
        <v>0</v>
      </c>
      <c r="L23" s="25">
        <v>0</v>
      </c>
      <c r="M23" s="27">
        <f>'18-03-2026'!J74</f>
        <v>151366</v>
      </c>
      <c r="N23" s="29">
        <v>0</v>
      </c>
      <c r="O23" s="25">
        <v>0</v>
      </c>
    </row>
    <row r="24" spans="3:15" x14ac:dyDescent="0.35">
      <c r="C24" s="40" t="s">
        <v>22</v>
      </c>
      <c r="D24" s="40"/>
      <c r="E24" s="40"/>
      <c r="F24" s="31">
        <f t="shared" ref="F24:L24" si="6">SUM(F22:F23)</f>
        <v>0</v>
      </c>
      <c r="G24" s="31">
        <f t="shared" si="6"/>
        <v>0</v>
      </c>
      <c r="H24" s="31">
        <f t="shared" si="6"/>
        <v>0</v>
      </c>
      <c r="I24" s="31">
        <f t="shared" si="6"/>
        <v>0</v>
      </c>
      <c r="J24" s="31">
        <f t="shared" si="6"/>
        <v>0</v>
      </c>
      <c r="K24" s="31">
        <f>SUM(K22:K23)</f>
        <v>0</v>
      </c>
      <c r="L24" s="31">
        <f t="shared" si="6"/>
        <v>0</v>
      </c>
      <c r="M24" s="31">
        <f>SUM(M22:M23)</f>
        <v>185335</v>
      </c>
      <c r="N24" s="31">
        <f t="shared" ref="N24:O24" si="7">SUM(N22:N23)</f>
        <v>0</v>
      </c>
      <c r="O24" s="31">
        <f t="shared" si="7"/>
        <v>0</v>
      </c>
    </row>
    <row r="25" spans="3:15" x14ac:dyDescent="0.35">
      <c r="C25" s="37" t="s">
        <v>30</v>
      </c>
      <c r="D25" s="38" t="s">
        <v>29</v>
      </c>
      <c r="E25" s="39" t="s">
        <v>16</v>
      </c>
      <c r="F25" s="32">
        <v>0</v>
      </c>
      <c r="G25" s="32">
        <v>0</v>
      </c>
      <c r="H25" s="28">
        <f t="shared" si="3"/>
        <v>0</v>
      </c>
      <c r="I25" s="28">
        <f t="shared" si="4"/>
        <v>0</v>
      </c>
      <c r="J25" s="33">
        <v>0</v>
      </c>
      <c r="K25" s="34">
        <v>0</v>
      </c>
      <c r="L25" s="33">
        <v>0</v>
      </c>
      <c r="M25" s="32">
        <f>'18-03-2026'!J77</f>
        <v>89658</v>
      </c>
      <c r="N25" s="34">
        <v>0</v>
      </c>
      <c r="O25" s="33">
        <v>0</v>
      </c>
    </row>
    <row r="26" spans="3:15" x14ac:dyDescent="0.35">
      <c r="C26" s="37" t="s">
        <v>30</v>
      </c>
      <c r="D26" s="38" t="s">
        <v>31</v>
      </c>
      <c r="E26" s="39" t="s">
        <v>16</v>
      </c>
      <c r="F26" s="32">
        <v>0</v>
      </c>
      <c r="G26" s="32">
        <v>0</v>
      </c>
      <c r="H26" s="28">
        <f t="shared" si="3"/>
        <v>0</v>
      </c>
      <c r="I26" s="28">
        <f t="shared" si="4"/>
        <v>0</v>
      </c>
      <c r="J26" s="33">
        <v>0</v>
      </c>
      <c r="K26" s="34">
        <v>0</v>
      </c>
      <c r="L26" s="33">
        <v>0</v>
      </c>
      <c r="M26" s="32">
        <f>'18-03-2026'!J78</f>
        <v>17000</v>
      </c>
      <c r="N26" s="34">
        <v>0</v>
      </c>
      <c r="O26" s="33">
        <v>0</v>
      </c>
    </row>
    <row r="27" spans="3:15" x14ac:dyDescent="0.35">
      <c r="C27" s="40" t="s">
        <v>22</v>
      </c>
      <c r="D27" s="40"/>
      <c r="E27" s="40"/>
      <c r="F27" s="31">
        <f>SUM(F25:F26)</f>
        <v>0</v>
      </c>
      <c r="G27" s="31">
        <f t="shared" ref="G27:O27" si="8">SUM(G25:G26)</f>
        <v>0</v>
      </c>
      <c r="H27" s="31">
        <f t="shared" si="8"/>
        <v>0</v>
      </c>
      <c r="I27" s="31">
        <f t="shared" si="8"/>
        <v>0</v>
      </c>
      <c r="J27" s="31">
        <f t="shared" si="8"/>
        <v>0</v>
      </c>
      <c r="K27" s="31">
        <f t="shared" si="8"/>
        <v>0</v>
      </c>
      <c r="L27" s="31">
        <f t="shared" si="8"/>
        <v>0</v>
      </c>
      <c r="M27" s="31">
        <f t="shared" si="8"/>
        <v>106658</v>
      </c>
      <c r="N27" s="31">
        <f t="shared" si="8"/>
        <v>0</v>
      </c>
      <c r="O27" s="31">
        <f t="shared" si="8"/>
        <v>0</v>
      </c>
    </row>
    <row r="28" spans="3:15" x14ac:dyDescent="0.35">
      <c r="C28" s="37" t="s">
        <v>32</v>
      </c>
      <c r="D28" s="38" t="s">
        <v>33</v>
      </c>
      <c r="E28" s="39" t="s">
        <v>97</v>
      </c>
      <c r="F28" s="35">
        <v>51231</v>
      </c>
      <c r="G28" s="27">
        <v>0</v>
      </c>
      <c r="H28" s="28">
        <f t="shared" si="3"/>
        <v>51231</v>
      </c>
      <c r="I28" s="28">
        <f t="shared" si="4"/>
        <v>51231</v>
      </c>
      <c r="J28" s="25">
        <v>0</v>
      </c>
      <c r="K28" s="29">
        <v>0</v>
      </c>
      <c r="L28" s="25">
        <v>0</v>
      </c>
      <c r="M28" s="27">
        <f>'18-03-2026'!J65</f>
        <v>1676533</v>
      </c>
      <c r="N28" s="29">
        <v>0</v>
      </c>
      <c r="O28" s="25">
        <v>56151</v>
      </c>
    </row>
    <row r="29" spans="3:15" x14ac:dyDescent="0.35">
      <c r="C29" s="37" t="s">
        <v>32</v>
      </c>
      <c r="D29" s="38" t="s">
        <v>33</v>
      </c>
      <c r="E29" s="39" t="s">
        <v>85</v>
      </c>
      <c r="F29" s="35">
        <v>160003</v>
      </c>
      <c r="G29" s="27">
        <v>0</v>
      </c>
      <c r="H29" s="28">
        <f t="shared" si="3"/>
        <v>160003</v>
      </c>
      <c r="I29" s="28">
        <f t="shared" si="4"/>
        <v>0</v>
      </c>
      <c r="J29" s="25">
        <v>160003</v>
      </c>
      <c r="K29" s="29">
        <v>0</v>
      </c>
      <c r="L29" s="25">
        <v>0</v>
      </c>
      <c r="M29" s="27">
        <v>0</v>
      </c>
      <c r="N29" s="29">
        <v>0</v>
      </c>
      <c r="O29" s="25">
        <v>0</v>
      </c>
    </row>
    <row r="30" spans="3:15" x14ac:dyDescent="0.35">
      <c r="C30" s="37" t="s">
        <v>32</v>
      </c>
      <c r="D30" s="38" t="s">
        <v>31</v>
      </c>
      <c r="E30" s="39" t="s">
        <v>16</v>
      </c>
      <c r="F30" s="35">
        <v>0</v>
      </c>
      <c r="G30" s="27">
        <v>0</v>
      </c>
      <c r="H30" s="28">
        <f t="shared" si="3"/>
        <v>0</v>
      </c>
      <c r="I30" s="28">
        <f t="shared" si="4"/>
        <v>0</v>
      </c>
      <c r="J30" s="25">
        <v>0</v>
      </c>
      <c r="K30" s="29">
        <v>0</v>
      </c>
      <c r="L30" s="25">
        <v>0</v>
      </c>
      <c r="M30" s="27">
        <f>'18-03-2026'!J66</f>
        <v>174473</v>
      </c>
      <c r="N30" s="29">
        <v>0</v>
      </c>
      <c r="O30" s="25">
        <v>0</v>
      </c>
    </row>
    <row r="31" spans="3:15" x14ac:dyDescent="0.35">
      <c r="C31" s="37" t="s">
        <v>32</v>
      </c>
      <c r="D31" s="38" t="s">
        <v>26</v>
      </c>
      <c r="E31" s="39" t="s">
        <v>16</v>
      </c>
      <c r="F31" s="35">
        <v>0</v>
      </c>
      <c r="G31" s="27">
        <v>0</v>
      </c>
      <c r="H31" s="28">
        <f t="shared" si="3"/>
        <v>0</v>
      </c>
      <c r="I31" s="28">
        <f t="shared" si="4"/>
        <v>0</v>
      </c>
      <c r="J31" s="25">
        <v>0</v>
      </c>
      <c r="K31" s="29">
        <v>0</v>
      </c>
      <c r="L31" s="25">
        <v>0</v>
      </c>
      <c r="M31" s="27">
        <f>'18-03-2026'!J67</f>
        <v>35126</v>
      </c>
      <c r="N31" s="29">
        <v>0</v>
      </c>
      <c r="O31" s="25">
        <v>0</v>
      </c>
    </row>
    <row r="32" spans="3:15" x14ac:dyDescent="0.35">
      <c r="C32" s="37" t="s">
        <v>32</v>
      </c>
      <c r="D32" s="38" t="s">
        <v>34</v>
      </c>
      <c r="E32" s="39" t="s">
        <v>50</v>
      </c>
      <c r="F32" s="35">
        <v>7453</v>
      </c>
      <c r="G32" s="27">
        <v>0</v>
      </c>
      <c r="H32" s="28">
        <f t="shared" si="3"/>
        <v>7453</v>
      </c>
      <c r="I32" s="28">
        <f t="shared" si="4"/>
        <v>7453</v>
      </c>
      <c r="J32" s="25">
        <v>0</v>
      </c>
      <c r="K32" s="29">
        <v>0</v>
      </c>
      <c r="L32" s="25">
        <v>0</v>
      </c>
      <c r="M32" s="27">
        <v>0</v>
      </c>
      <c r="N32" s="29">
        <v>0</v>
      </c>
      <c r="O32" s="25">
        <v>0</v>
      </c>
    </row>
    <row r="33" spans="3:15" x14ac:dyDescent="0.35">
      <c r="C33" s="37" t="s">
        <v>32</v>
      </c>
      <c r="D33" s="38" t="s">
        <v>34</v>
      </c>
      <c r="E33" s="39" t="s">
        <v>93</v>
      </c>
      <c r="F33" s="35">
        <v>2947</v>
      </c>
      <c r="G33" s="27">
        <v>0</v>
      </c>
      <c r="H33" s="28">
        <f t="shared" si="3"/>
        <v>2947</v>
      </c>
      <c r="I33" s="28">
        <f t="shared" si="4"/>
        <v>2947</v>
      </c>
      <c r="J33" s="25">
        <v>0</v>
      </c>
      <c r="K33" s="29">
        <v>0</v>
      </c>
      <c r="L33" s="25">
        <v>0</v>
      </c>
      <c r="M33" s="27">
        <v>0</v>
      </c>
      <c r="N33" s="29">
        <v>0</v>
      </c>
      <c r="O33" s="25">
        <v>0</v>
      </c>
    </row>
    <row r="34" spans="3:15" x14ac:dyDescent="0.35">
      <c r="C34" s="37" t="s">
        <v>32</v>
      </c>
      <c r="D34" s="38" t="s">
        <v>34</v>
      </c>
      <c r="E34" s="39" t="s">
        <v>50</v>
      </c>
      <c r="F34" s="35">
        <v>67670</v>
      </c>
      <c r="G34" s="27">
        <v>0</v>
      </c>
      <c r="H34" s="28">
        <f t="shared" si="3"/>
        <v>67670</v>
      </c>
      <c r="I34" s="28">
        <f t="shared" si="4"/>
        <v>65154</v>
      </c>
      <c r="J34" s="25">
        <v>2516</v>
      </c>
      <c r="K34" s="29">
        <v>0</v>
      </c>
      <c r="L34" s="25">
        <v>0</v>
      </c>
      <c r="M34" s="27">
        <f>'18-03-2026'!J68</f>
        <v>1417011</v>
      </c>
      <c r="N34" s="29">
        <v>0</v>
      </c>
      <c r="O34" s="25">
        <v>110394</v>
      </c>
    </row>
    <row r="35" spans="3:15" x14ac:dyDescent="0.35">
      <c r="C35" s="40" t="s">
        <v>22</v>
      </c>
      <c r="D35" s="40"/>
      <c r="E35" s="40"/>
      <c r="F35" s="31">
        <f t="shared" ref="F35:O35" si="9">SUM(F28:F34)</f>
        <v>289304</v>
      </c>
      <c r="G35" s="31">
        <f t="shared" si="9"/>
        <v>0</v>
      </c>
      <c r="H35" s="31">
        <f t="shared" si="9"/>
        <v>289304</v>
      </c>
      <c r="I35" s="31">
        <f t="shared" si="9"/>
        <v>126785</v>
      </c>
      <c r="J35" s="31">
        <f t="shared" si="9"/>
        <v>162519</v>
      </c>
      <c r="K35" s="31">
        <f t="shared" si="9"/>
        <v>0</v>
      </c>
      <c r="L35" s="31">
        <f t="shared" si="9"/>
        <v>0</v>
      </c>
      <c r="M35" s="31">
        <f t="shared" si="9"/>
        <v>3303143</v>
      </c>
      <c r="N35" s="31">
        <f t="shared" si="9"/>
        <v>0</v>
      </c>
      <c r="O35" s="31">
        <f t="shared" si="9"/>
        <v>166545</v>
      </c>
    </row>
    <row r="36" spans="3:15" x14ac:dyDescent="0.35">
      <c r="C36" s="41" t="s">
        <v>35</v>
      </c>
      <c r="D36" s="41"/>
      <c r="E36" s="41"/>
      <c r="F36" s="36">
        <f t="shared" ref="F36:O36" si="10">F35+F27+F24+F21+F19+F13</f>
        <v>1264933</v>
      </c>
      <c r="G36" s="36">
        <f t="shared" si="10"/>
        <v>7805</v>
      </c>
      <c r="H36" s="36">
        <f t="shared" si="10"/>
        <v>1257128</v>
      </c>
      <c r="I36" s="36">
        <f t="shared" si="10"/>
        <v>843980</v>
      </c>
      <c r="J36" s="36">
        <f t="shared" si="10"/>
        <v>413148</v>
      </c>
      <c r="K36" s="36">
        <f t="shared" si="10"/>
        <v>93</v>
      </c>
      <c r="L36" s="36">
        <f t="shared" si="10"/>
        <v>1000</v>
      </c>
      <c r="M36" s="36">
        <f t="shared" si="10"/>
        <v>16554015</v>
      </c>
      <c r="N36" s="36">
        <f t="shared" si="10"/>
        <v>0</v>
      </c>
      <c r="O36" s="36">
        <f t="shared" si="10"/>
        <v>496669</v>
      </c>
    </row>
    <row r="37" spans="3:15" x14ac:dyDescent="0.35">
      <c r="F37" s="49" t="s">
        <v>36</v>
      </c>
      <c r="G37" s="25">
        <f>O13+L13+J13-K13</f>
        <v>275563</v>
      </c>
      <c r="H37" s="200"/>
      <c r="I37" s="201"/>
      <c r="J37" s="50"/>
      <c r="K37" s="51"/>
      <c r="L37" s="51"/>
    </row>
    <row r="38" spans="3:15" x14ac:dyDescent="0.35">
      <c r="F38" s="52" t="s">
        <v>37</v>
      </c>
      <c r="G38" s="25">
        <f>O19+L19+J19-K19+O21+L21+J21-K21</f>
        <v>306097</v>
      </c>
      <c r="H38" s="53"/>
      <c r="I38" s="54" t="s">
        <v>89</v>
      </c>
      <c r="J38" s="54" t="s">
        <v>90</v>
      </c>
      <c r="K38" s="192" t="s">
        <v>88</v>
      </c>
      <c r="L38" s="193"/>
      <c r="M38" s="202" t="s">
        <v>87</v>
      </c>
      <c r="N38" s="203"/>
      <c r="O38" s="204"/>
    </row>
    <row r="39" spans="3:15" x14ac:dyDescent="0.35">
      <c r="C39" s="205" t="s">
        <v>68</v>
      </c>
      <c r="D39" s="206"/>
      <c r="F39" s="55" t="s">
        <v>38</v>
      </c>
      <c r="G39" s="25">
        <f>O24+L24+J24-K24</f>
        <v>0</v>
      </c>
      <c r="H39" s="53"/>
      <c r="I39" s="54"/>
      <c r="J39" s="57"/>
      <c r="K39" s="192"/>
      <c r="L39" s="193"/>
      <c r="M39" s="59"/>
      <c r="N39" s="58"/>
      <c r="O39" s="60"/>
    </row>
    <row r="40" spans="3:15" x14ac:dyDescent="0.35">
      <c r="C40" s="61"/>
      <c r="D40" s="61"/>
      <c r="F40" s="62" t="s">
        <v>30</v>
      </c>
      <c r="G40" s="25">
        <f>O27+L27+J27-K27</f>
        <v>0</v>
      </c>
      <c r="H40" s="53"/>
      <c r="I40" s="56"/>
      <c r="J40" s="57"/>
      <c r="K40" s="192"/>
      <c r="L40" s="193"/>
      <c r="M40" s="59"/>
      <c r="N40" s="58"/>
      <c r="O40" s="60"/>
    </row>
    <row r="41" spans="3:15" x14ac:dyDescent="0.35">
      <c r="C41" s="61"/>
      <c r="D41" s="61"/>
      <c r="F41" s="49" t="s">
        <v>39</v>
      </c>
      <c r="G41" s="25">
        <f>O35+L35+J35-K35</f>
        <v>329064</v>
      </c>
      <c r="H41" s="53"/>
      <c r="I41" s="56"/>
      <c r="J41" s="57"/>
      <c r="K41" s="192"/>
      <c r="L41" s="193"/>
      <c r="M41" s="59"/>
      <c r="N41" s="58"/>
      <c r="O41" s="60"/>
    </row>
    <row r="42" spans="3:15" x14ac:dyDescent="0.35">
      <c r="C42" s="61"/>
      <c r="D42" s="61"/>
      <c r="F42" s="63" t="s">
        <v>40</v>
      </c>
      <c r="G42" s="26">
        <f>SUM(G37:G41)</f>
        <v>910724</v>
      </c>
      <c r="I42" s="61"/>
      <c r="J42" s="57"/>
      <c r="K42" s="192"/>
      <c r="L42" s="193"/>
      <c r="M42" s="59"/>
      <c r="N42" s="58"/>
      <c r="O42" s="60"/>
    </row>
    <row r="43" spans="3:15" x14ac:dyDescent="0.35">
      <c r="C43" s="61"/>
      <c r="D43" s="61"/>
      <c r="F43" s="64"/>
      <c r="G43" s="65"/>
      <c r="I43" s="61"/>
      <c r="J43" s="57"/>
      <c r="K43" s="192"/>
      <c r="L43" s="193"/>
      <c r="M43" s="59"/>
      <c r="N43" s="58"/>
      <c r="O43" s="60"/>
    </row>
    <row r="44" spans="3:15" x14ac:dyDescent="0.35">
      <c r="C44" s="61"/>
      <c r="D44" s="61"/>
      <c r="F44" s="64"/>
      <c r="G44" s="65"/>
      <c r="I44" s="61"/>
      <c r="J44" s="57"/>
      <c r="K44" s="58"/>
      <c r="L44" s="58"/>
      <c r="M44" s="59"/>
      <c r="N44" s="58"/>
      <c r="O44" s="60"/>
    </row>
    <row r="45" spans="3:15" x14ac:dyDescent="0.35">
      <c r="C45" s="61"/>
      <c r="D45" s="61"/>
      <c r="F45" s="64"/>
      <c r="G45" s="65"/>
      <c r="I45" s="61"/>
      <c r="J45" s="57"/>
      <c r="K45" s="58"/>
      <c r="L45" s="58"/>
      <c r="M45" s="59"/>
      <c r="N45" s="58"/>
      <c r="O45" s="60"/>
    </row>
    <row r="46" spans="3:15" x14ac:dyDescent="0.35">
      <c r="C46" s="61"/>
      <c r="D46" s="61"/>
      <c r="F46" s="64"/>
      <c r="G46" s="65"/>
      <c r="I46" s="61"/>
      <c r="J46" s="57"/>
      <c r="K46" s="58"/>
      <c r="L46" s="58"/>
      <c r="M46" s="59"/>
      <c r="N46" s="58"/>
      <c r="O46" s="60"/>
    </row>
    <row r="47" spans="3:15" x14ac:dyDescent="0.35">
      <c r="C47" s="61"/>
      <c r="D47" s="61"/>
      <c r="F47" s="64"/>
      <c r="G47" s="65"/>
      <c r="I47" s="61"/>
      <c r="J47" s="57"/>
      <c r="K47" s="191"/>
      <c r="L47" s="193"/>
      <c r="M47" s="191"/>
      <c r="N47" s="192"/>
      <c r="O47" s="193"/>
    </row>
    <row r="48" spans="3:15" x14ac:dyDescent="0.35">
      <c r="C48" s="61"/>
      <c r="D48" s="61"/>
      <c r="F48" s="64"/>
      <c r="G48" s="65"/>
      <c r="I48" s="61"/>
      <c r="J48" s="54"/>
      <c r="K48" s="191"/>
      <c r="L48" s="193"/>
      <c r="M48" s="191"/>
      <c r="N48" s="192"/>
      <c r="O48" s="193"/>
    </row>
    <row r="49" spans="3:15" x14ac:dyDescent="0.35">
      <c r="C49" s="61"/>
      <c r="D49" s="61"/>
      <c r="F49" s="64"/>
      <c r="G49" s="65"/>
      <c r="I49" s="61"/>
      <c r="J49" s="54"/>
      <c r="K49" s="191"/>
      <c r="L49" s="193"/>
      <c r="M49" s="191"/>
      <c r="N49" s="192"/>
      <c r="O49" s="193"/>
    </row>
    <row r="50" spans="3:15" x14ac:dyDescent="0.35">
      <c r="C50" s="61"/>
      <c r="D50" s="61"/>
      <c r="F50" s="64"/>
      <c r="G50" s="65"/>
      <c r="I50" s="61"/>
      <c r="J50" s="54"/>
      <c r="K50" s="191"/>
      <c r="L50" s="193"/>
      <c r="M50" s="191"/>
      <c r="N50" s="192"/>
      <c r="O50" s="193"/>
    </row>
    <row r="51" spans="3:15" x14ac:dyDescent="0.35">
      <c r="C51" s="61"/>
      <c r="D51" s="61"/>
      <c r="F51" s="64"/>
      <c r="G51" s="65"/>
      <c r="I51" s="61"/>
      <c r="J51" s="54"/>
      <c r="K51" s="191"/>
      <c r="L51" s="193"/>
      <c r="M51" s="191"/>
      <c r="N51" s="192"/>
      <c r="O51" s="193"/>
    </row>
    <row r="52" spans="3:15" x14ac:dyDescent="0.35">
      <c r="H52" s="209" t="s">
        <v>41</v>
      </c>
      <c r="I52" s="209"/>
      <c r="J52" s="209"/>
      <c r="K52" s="210"/>
      <c r="L52" s="46"/>
      <c r="M52" s="66"/>
    </row>
    <row r="53" spans="3:15" x14ac:dyDescent="0.35">
      <c r="H53" s="67" t="s">
        <v>42</v>
      </c>
      <c r="I53" s="67" t="s">
        <v>43</v>
      </c>
      <c r="J53" s="67" t="s">
        <v>44</v>
      </c>
      <c r="K53" s="210"/>
      <c r="L53" s="66"/>
    </row>
    <row r="54" spans="3:15" x14ac:dyDescent="0.35">
      <c r="F54" s="68"/>
      <c r="H54" s="42" t="s">
        <v>14</v>
      </c>
      <c r="I54" s="42" t="s">
        <v>15</v>
      </c>
      <c r="J54" s="68">
        <f>M5-O5-N5-L5+I5</f>
        <v>430197</v>
      </c>
      <c r="K54" s="69">
        <v>423583</v>
      </c>
      <c r="L54" s="70">
        <f>J54-K54</f>
        <v>6614</v>
      </c>
      <c r="M54" s="68"/>
    </row>
    <row r="55" spans="3:15" x14ac:dyDescent="0.35">
      <c r="C55" s="211">
        <v>45931</v>
      </c>
      <c r="D55" s="211"/>
      <c r="E55" s="211"/>
      <c r="H55" s="42" t="s">
        <v>14</v>
      </c>
      <c r="I55" s="42" t="s">
        <v>17</v>
      </c>
      <c r="J55" s="68">
        <f>M6-O6-N6-L6+I6+G55</f>
        <v>3894960</v>
      </c>
      <c r="K55" s="69">
        <v>3659204</v>
      </c>
      <c r="L55" s="70">
        <f t="shared" ref="L55:L66" si="11">J55-K55</f>
        <v>235756</v>
      </c>
      <c r="M55" s="68"/>
    </row>
    <row r="56" spans="3:15" x14ac:dyDescent="0.35">
      <c r="C56" s="212" t="s">
        <v>63</v>
      </c>
      <c r="D56" s="212"/>
      <c r="E56" s="212"/>
      <c r="H56" s="42" t="s">
        <v>14</v>
      </c>
      <c r="I56" s="42" t="s">
        <v>18</v>
      </c>
      <c r="J56" s="68">
        <f>M7-O7-N7-L7+I7+G56+I8</f>
        <v>2062504</v>
      </c>
      <c r="K56" s="69">
        <v>1965215</v>
      </c>
      <c r="L56" s="70">
        <f t="shared" si="11"/>
        <v>97289</v>
      </c>
      <c r="M56" s="68"/>
    </row>
    <row r="57" spans="3:15" x14ac:dyDescent="0.35">
      <c r="C57" s="61" t="s">
        <v>64</v>
      </c>
      <c r="D57" s="213">
        <f>'Opening Balance FEB 2026'!J4</f>
        <v>1308640</v>
      </c>
      <c r="E57" s="214"/>
      <c r="H57" s="42" t="s">
        <v>14</v>
      </c>
      <c r="I57" s="42" t="s">
        <v>19</v>
      </c>
      <c r="J57" s="68">
        <f>M9-O9-N9-L9+I9+G57</f>
        <v>1411469</v>
      </c>
      <c r="K57" s="69">
        <v>1417462</v>
      </c>
      <c r="L57" s="70">
        <f t="shared" si="11"/>
        <v>-5993</v>
      </c>
      <c r="M57" s="68"/>
    </row>
    <row r="58" spans="3:15" x14ac:dyDescent="0.35">
      <c r="C58" s="61" t="s">
        <v>65</v>
      </c>
      <c r="D58" s="213">
        <f>G42</f>
        <v>910724</v>
      </c>
      <c r="E58" s="214"/>
      <c r="H58" s="42" t="s">
        <v>14</v>
      </c>
      <c r="I58" s="42" t="s">
        <v>20</v>
      </c>
      <c r="J58" s="68">
        <f>M10-O10-N10-L10+I10+G58</f>
        <v>1502738</v>
      </c>
      <c r="K58" s="69">
        <v>1503088</v>
      </c>
      <c r="L58" s="70">
        <f t="shared" si="11"/>
        <v>-350</v>
      </c>
      <c r="M58" s="68"/>
    </row>
    <row r="59" spans="3:15" x14ac:dyDescent="0.35">
      <c r="C59" s="71" t="s">
        <v>45</v>
      </c>
      <c r="D59" s="215">
        <f>D57+D58</f>
        <v>2219364</v>
      </c>
      <c r="E59" s="216"/>
      <c r="H59" s="42" t="s">
        <v>14</v>
      </c>
      <c r="I59" s="42" t="s">
        <v>21</v>
      </c>
      <c r="J59" s="68">
        <f>M11-O11-N11-L11+I11+G59</f>
        <v>797366</v>
      </c>
      <c r="K59" s="69">
        <v>758872</v>
      </c>
      <c r="L59" s="70">
        <f t="shared" si="11"/>
        <v>38494</v>
      </c>
    </row>
    <row r="60" spans="3:15" x14ac:dyDescent="0.35">
      <c r="C60" s="61" t="s">
        <v>66</v>
      </c>
      <c r="D60" s="207">
        <v>0</v>
      </c>
      <c r="E60" s="208"/>
      <c r="H60" s="72" t="s">
        <v>45</v>
      </c>
      <c r="I60" s="72"/>
      <c r="J60" s="73">
        <f>SUM(J54:J59)</f>
        <v>10099234</v>
      </c>
      <c r="K60" s="74">
        <v>9727424</v>
      </c>
      <c r="L60" s="70">
        <f t="shared" si="11"/>
        <v>371810</v>
      </c>
    </row>
    <row r="61" spans="3:15" x14ac:dyDescent="0.35">
      <c r="C61" s="61" t="s">
        <v>78</v>
      </c>
      <c r="D61" s="207">
        <v>0</v>
      </c>
      <c r="E61" s="208"/>
      <c r="H61" s="72"/>
      <c r="I61" s="72"/>
      <c r="J61" s="73"/>
      <c r="K61" s="75"/>
      <c r="L61" s="70"/>
    </row>
    <row r="62" spans="3:15" x14ac:dyDescent="0.35">
      <c r="C62" s="61" t="s">
        <v>75</v>
      </c>
      <c r="D62" s="207">
        <v>10000</v>
      </c>
      <c r="E62" s="208"/>
      <c r="H62" s="67" t="s">
        <v>42</v>
      </c>
      <c r="I62" s="67" t="s">
        <v>43</v>
      </c>
      <c r="J62" s="67" t="s">
        <v>44</v>
      </c>
      <c r="K62" s="66"/>
      <c r="L62" s="70"/>
    </row>
    <row r="63" spans="3:15" x14ac:dyDescent="0.35">
      <c r="C63" s="76" t="s">
        <v>83</v>
      </c>
      <c r="D63" s="217">
        <f>SUM(D60:E62)</f>
        <v>10000</v>
      </c>
      <c r="E63" s="218"/>
      <c r="H63" s="42" t="s">
        <v>46</v>
      </c>
      <c r="I63" s="42" t="s">
        <v>48</v>
      </c>
      <c r="J63" s="68">
        <f>M14-O14-N14-L14+I14</f>
        <v>475241</v>
      </c>
      <c r="K63" s="69">
        <v>468674</v>
      </c>
      <c r="L63" s="70">
        <f t="shared" si="11"/>
        <v>6567</v>
      </c>
    </row>
    <row r="64" spans="3:15" x14ac:dyDescent="0.35">
      <c r="C64" s="77" t="s">
        <v>67</v>
      </c>
      <c r="D64" s="219">
        <f>D59-D60-D62-D61</f>
        <v>2209364</v>
      </c>
      <c r="E64" s="220"/>
      <c r="H64" s="42" t="s">
        <v>46</v>
      </c>
      <c r="I64" s="42" t="s">
        <v>47</v>
      </c>
      <c r="J64" s="68">
        <f>M15-O15-N15-L15+I15</f>
        <v>2340003</v>
      </c>
      <c r="K64" s="69">
        <v>1828234</v>
      </c>
      <c r="L64" s="70">
        <f t="shared" si="11"/>
        <v>511769</v>
      </c>
      <c r="N64" s="68"/>
    </row>
    <row r="65" spans="3:14" x14ac:dyDescent="0.35">
      <c r="C65" s="78" t="s">
        <v>68</v>
      </c>
      <c r="D65" s="221"/>
      <c r="E65" s="222"/>
      <c r="H65" s="42" t="s">
        <v>46</v>
      </c>
      <c r="I65" s="42" t="s">
        <v>15</v>
      </c>
      <c r="J65" s="68">
        <f>M16-O16-N16-L16+I16</f>
        <v>379215</v>
      </c>
      <c r="K65" s="69">
        <v>431773</v>
      </c>
      <c r="L65" s="70">
        <f t="shared" si="11"/>
        <v>-52558</v>
      </c>
      <c r="M65" s="68"/>
      <c r="N65" s="68"/>
    </row>
    <row r="66" spans="3:14" x14ac:dyDescent="0.35">
      <c r="C66" s="61" t="s">
        <v>14</v>
      </c>
      <c r="D66" s="213">
        <v>0</v>
      </c>
      <c r="E66" s="214"/>
      <c r="H66" s="42" t="s">
        <v>46</v>
      </c>
      <c r="I66" s="42" t="s">
        <v>20</v>
      </c>
      <c r="J66" s="68">
        <f>M17-O17</f>
        <v>0</v>
      </c>
      <c r="K66" s="69">
        <v>8160</v>
      </c>
      <c r="L66" s="70">
        <f t="shared" si="11"/>
        <v>-8160</v>
      </c>
    </row>
    <row r="67" spans="3:14" x14ac:dyDescent="0.35">
      <c r="C67" s="61" t="s">
        <v>72</v>
      </c>
      <c r="D67" s="213">
        <v>0</v>
      </c>
      <c r="E67" s="214"/>
      <c r="H67" s="42" t="s">
        <v>27</v>
      </c>
      <c r="I67" s="42" t="s">
        <v>47</v>
      </c>
      <c r="J67" s="68">
        <f>M20-O20-N20-L20+I20</f>
        <v>51257</v>
      </c>
      <c r="K67" s="69">
        <v>51257</v>
      </c>
      <c r="L67" s="70">
        <f>J67-K67</f>
        <v>0</v>
      </c>
    </row>
    <row r="68" spans="3:14" x14ac:dyDescent="0.35">
      <c r="C68" s="61" t="s">
        <v>69</v>
      </c>
      <c r="D68" s="213">
        <v>0</v>
      </c>
      <c r="E68" s="214"/>
      <c r="H68" s="72" t="s">
        <v>45</v>
      </c>
      <c r="I68" s="72"/>
      <c r="J68" s="73">
        <f>SUM(J63:J67)</f>
        <v>3245716</v>
      </c>
      <c r="K68" s="69">
        <f>SUM(K63:K67)</f>
        <v>2788098</v>
      </c>
      <c r="L68" s="70">
        <f>J68-K68</f>
        <v>457618</v>
      </c>
    </row>
    <row r="69" spans="3:14" x14ac:dyDescent="0.35">
      <c r="C69" s="61" t="s">
        <v>70</v>
      </c>
      <c r="D69" s="213">
        <v>0</v>
      </c>
      <c r="E69" s="214"/>
      <c r="F69" s="68"/>
      <c r="H69" s="67" t="s">
        <v>42</v>
      </c>
      <c r="I69" s="67" t="s">
        <v>43</v>
      </c>
      <c r="J69" s="67" t="s">
        <v>44</v>
      </c>
    </row>
    <row r="70" spans="3:14" x14ac:dyDescent="0.35">
      <c r="C70" s="61" t="s">
        <v>71</v>
      </c>
      <c r="D70" s="213">
        <v>0</v>
      </c>
      <c r="E70" s="214"/>
      <c r="F70" s="79"/>
      <c r="G70" s="80"/>
      <c r="H70" s="42" t="s">
        <v>49</v>
      </c>
      <c r="I70" s="42" t="s">
        <v>51</v>
      </c>
      <c r="J70" s="68">
        <f>M28-O28-N28-L28+I28</f>
        <v>1671613</v>
      </c>
      <c r="K70" s="69">
        <v>1671613</v>
      </c>
      <c r="L70" s="70">
        <f t="shared" ref="L70:L76" si="12">J70-K70</f>
        <v>0</v>
      </c>
      <c r="N70" s="68"/>
    </row>
    <row r="71" spans="3:14" x14ac:dyDescent="0.35">
      <c r="C71" s="77" t="s">
        <v>73</v>
      </c>
      <c r="D71" s="219">
        <f>SUM(D66:D70)</f>
        <v>0</v>
      </c>
      <c r="E71" s="220"/>
      <c r="F71" s="68"/>
      <c r="H71" s="42" t="s">
        <v>49</v>
      </c>
      <c r="I71" s="42" t="s">
        <v>18</v>
      </c>
      <c r="J71" s="68">
        <f>M30-O30-N30-L30+I30</f>
        <v>174473</v>
      </c>
      <c r="K71" s="69">
        <v>174473</v>
      </c>
      <c r="L71" s="70">
        <f t="shared" si="12"/>
        <v>0</v>
      </c>
    </row>
    <row r="72" spans="3:14" x14ac:dyDescent="0.35">
      <c r="C72" s="81" t="s">
        <v>74</v>
      </c>
      <c r="D72" s="223">
        <f>D64-D71</f>
        <v>2209364</v>
      </c>
      <c r="E72" s="224"/>
      <c r="F72" s="68"/>
      <c r="H72" s="42" t="s">
        <v>49</v>
      </c>
      <c r="I72" s="42" t="s">
        <v>15</v>
      </c>
      <c r="J72" s="68">
        <f>M31-O31-N31-L31+I31</f>
        <v>35126</v>
      </c>
      <c r="K72" s="69">
        <v>35126</v>
      </c>
      <c r="L72" s="70">
        <f t="shared" si="12"/>
        <v>0</v>
      </c>
    </row>
    <row r="73" spans="3:14" x14ac:dyDescent="0.35">
      <c r="C73" s="61"/>
      <c r="D73" s="213">
        <v>3102990</v>
      </c>
      <c r="E73" s="214"/>
      <c r="H73" s="42" t="s">
        <v>49</v>
      </c>
      <c r="I73" s="42" t="s">
        <v>50</v>
      </c>
      <c r="J73" s="68">
        <f>M34-O34-N34-L34+I34+I32+I33</f>
        <v>1382171</v>
      </c>
      <c r="K73" s="82">
        <v>1382171</v>
      </c>
      <c r="L73" s="70">
        <f t="shared" si="12"/>
        <v>0</v>
      </c>
    </row>
    <row r="74" spans="3:14" x14ac:dyDescent="0.35">
      <c r="C74" s="61"/>
      <c r="D74" s="213">
        <f>D72-D73</f>
        <v>-893626</v>
      </c>
      <c r="E74" s="214"/>
      <c r="H74" s="42" t="s">
        <v>49</v>
      </c>
      <c r="I74" s="42" t="s">
        <v>20</v>
      </c>
      <c r="J74" s="68">
        <f>'Opening Balance FEB 2026'!F24</f>
        <v>66046</v>
      </c>
      <c r="K74" s="69">
        <v>66046</v>
      </c>
      <c r="L74" s="70">
        <f t="shared" si="12"/>
        <v>0</v>
      </c>
    </row>
    <row r="75" spans="3:14" x14ac:dyDescent="0.35">
      <c r="H75" s="42" t="s">
        <v>49</v>
      </c>
      <c r="I75" s="42" t="s">
        <v>47</v>
      </c>
      <c r="J75" s="68">
        <f>'Opening Balance FEB 2026'!F25</f>
        <v>23570</v>
      </c>
      <c r="K75" s="69">
        <v>23570</v>
      </c>
      <c r="L75" s="70">
        <f t="shared" si="12"/>
        <v>0</v>
      </c>
    </row>
    <row r="76" spans="3:14" x14ac:dyDescent="0.35">
      <c r="H76" s="72" t="s">
        <v>45</v>
      </c>
      <c r="I76" s="72"/>
      <c r="J76" s="73">
        <f>SUM(J70:J75)</f>
        <v>3352999</v>
      </c>
      <c r="K76" s="69">
        <v>3347999</v>
      </c>
      <c r="L76" s="70">
        <f t="shared" si="12"/>
        <v>5000</v>
      </c>
      <c r="N76" s="68"/>
    </row>
    <row r="77" spans="3:14" x14ac:dyDescent="0.35">
      <c r="H77" s="67" t="s">
        <v>42</v>
      </c>
      <c r="I77" s="67" t="s">
        <v>43</v>
      </c>
      <c r="J77" s="67" t="s">
        <v>44</v>
      </c>
    </row>
    <row r="78" spans="3:14" x14ac:dyDescent="0.35">
      <c r="H78" s="42" t="s">
        <v>52</v>
      </c>
      <c r="I78" s="42" t="s">
        <v>53</v>
      </c>
      <c r="J78" s="68">
        <f>M22-O22-N22-L22+I22-G77</f>
        <v>33969</v>
      </c>
      <c r="K78" s="68">
        <v>33969</v>
      </c>
      <c r="L78" s="70">
        <f>J78-K78</f>
        <v>0</v>
      </c>
    </row>
    <row r="79" spans="3:14" x14ac:dyDescent="0.35">
      <c r="H79" s="42" t="s">
        <v>52</v>
      </c>
      <c r="I79" s="42" t="s">
        <v>47</v>
      </c>
      <c r="J79" s="68">
        <f>M23-O23-N23-L23+I23</f>
        <v>151366</v>
      </c>
      <c r="K79" s="82">
        <v>151366</v>
      </c>
      <c r="L79" s="70">
        <f>J79-K79</f>
        <v>0</v>
      </c>
    </row>
    <row r="80" spans="3:14" x14ac:dyDescent="0.35">
      <c r="H80" s="72" t="s">
        <v>45</v>
      </c>
      <c r="I80" s="72"/>
      <c r="J80" s="73">
        <f>SUM(J78:J79)</f>
        <v>185335</v>
      </c>
      <c r="K80" s="68">
        <v>160846</v>
      </c>
      <c r="L80" s="70">
        <f>J80-K80</f>
        <v>24489</v>
      </c>
    </row>
    <row r="81" spans="4:12" x14ac:dyDescent="0.35">
      <c r="G81" s="42">
        <v>0</v>
      </c>
      <c r="H81" s="67" t="s">
        <v>42</v>
      </c>
      <c r="I81" s="67" t="s">
        <v>43</v>
      </c>
      <c r="J81" s="67" t="s">
        <v>44</v>
      </c>
      <c r="K81" s="69">
        <v>0</v>
      </c>
      <c r="L81" s="70"/>
    </row>
    <row r="82" spans="4:12" x14ac:dyDescent="0.35">
      <c r="H82" s="42" t="s">
        <v>54</v>
      </c>
      <c r="I82" s="42" t="s">
        <v>53</v>
      </c>
      <c r="J82" s="68">
        <f>M25-O25-N25-L25+I25-G81</f>
        <v>89658</v>
      </c>
      <c r="K82" s="69">
        <v>89658</v>
      </c>
      <c r="L82" s="70">
        <f>J82-K82</f>
        <v>0</v>
      </c>
    </row>
    <row r="83" spans="4:12" x14ac:dyDescent="0.35">
      <c r="H83" s="42" t="s">
        <v>54</v>
      </c>
      <c r="I83" s="42" t="s">
        <v>18</v>
      </c>
      <c r="J83" s="68">
        <f>M26-O26-N26-L26+I26</f>
        <v>17000</v>
      </c>
      <c r="K83" s="69">
        <v>67000</v>
      </c>
      <c r="L83" s="70">
        <f>J83-K83</f>
        <v>-50000</v>
      </c>
    </row>
    <row r="84" spans="4:12" x14ac:dyDescent="0.35">
      <c r="H84" s="72" t="s">
        <v>45</v>
      </c>
      <c r="I84" s="72"/>
      <c r="J84" s="73">
        <f>SUM(J82:J83)</f>
        <v>106658</v>
      </c>
      <c r="K84" s="68">
        <f>SUM(K81:K83)</f>
        <v>156658</v>
      </c>
      <c r="L84" s="70">
        <f>J84-K84</f>
        <v>-50000</v>
      </c>
    </row>
    <row r="85" spans="4:12" x14ac:dyDescent="0.35">
      <c r="H85" s="67" t="s">
        <v>42</v>
      </c>
      <c r="I85" s="67" t="s">
        <v>43</v>
      </c>
      <c r="J85" s="67" t="s">
        <v>44</v>
      </c>
      <c r="K85" s="69">
        <v>0</v>
      </c>
      <c r="L85" s="70"/>
    </row>
    <row r="86" spans="4:12" x14ac:dyDescent="0.35">
      <c r="H86" s="42" t="s">
        <v>55</v>
      </c>
      <c r="I86" s="42" t="s">
        <v>56</v>
      </c>
      <c r="J86" s="68">
        <f>'Opening Balance FEB 2026'!F36</f>
        <v>103541</v>
      </c>
      <c r="K86" s="69">
        <v>103541</v>
      </c>
      <c r="L86" s="70">
        <f>J86-K86</f>
        <v>0</v>
      </c>
    </row>
    <row r="87" spans="4:12" x14ac:dyDescent="0.35">
      <c r="H87" s="42" t="s">
        <v>55</v>
      </c>
      <c r="I87" s="42" t="s">
        <v>47</v>
      </c>
      <c r="J87" s="68">
        <f>'Opening Balance FEB 2026'!F37</f>
        <v>6013</v>
      </c>
      <c r="K87" s="69">
        <v>6013</v>
      </c>
      <c r="L87" s="70">
        <f>J87-K87</f>
        <v>0</v>
      </c>
    </row>
    <row r="88" spans="4:12" x14ac:dyDescent="0.35">
      <c r="H88" s="72" t="s">
        <v>45</v>
      </c>
      <c r="I88" s="72"/>
      <c r="J88" s="73">
        <v>109554</v>
      </c>
      <c r="K88" s="68">
        <f>SUM(K85:K87)</f>
        <v>109554</v>
      </c>
      <c r="L88" s="70">
        <f>J88-K88</f>
        <v>0</v>
      </c>
    </row>
    <row r="89" spans="4:12" x14ac:dyDescent="0.35">
      <c r="H89" s="67" t="s">
        <v>42</v>
      </c>
      <c r="I89" s="67" t="s">
        <v>43</v>
      </c>
      <c r="J89" s="67" t="s">
        <v>44</v>
      </c>
      <c r="K89" s="69">
        <v>0</v>
      </c>
      <c r="L89" s="70"/>
    </row>
    <row r="90" spans="4:12" x14ac:dyDescent="0.35">
      <c r="H90" s="42" t="s">
        <v>57</v>
      </c>
      <c r="I90" s="42" t="s">
        <v>47</v>
      </c>
      <c r="J90" s="68">
        <f>'Opening Balance FEB 2026'!F40</f>
        <v>16440</v>
      </c>
      <c r="K90" s="69">
        <v>16440</v>
      </c>
      <c r="L90" s="70">
        <f>J90-K90</f>
        <v>0</v>
      </c>
    </row>
    <row r="91" spans="4:12" x14ac:dyDescent="0.35">
      <c r="H91" s="72" t="s">
        <v>45</v>
      </c>
      <c r="I91" s="72"/>
      <c r="J91" s="73">
        <v>16440</v>
      </c>
      <c r="K91" s="69">
        <f>SUM(K89:K90)</f>
        <v>16440</v>
      </c>
    </row>
    <row r="92" spans="4:12" x14ac:dyDescent="0.35">
      <c r="J92" s="68"/>
    </row>
    <row r="93" spans="4:12" x14ac:dyDescent="0.35">
      <c r="H93" s="83" t="s">
        <v>58</v>
      </c>
      <c r="I93" s="83"/>
      <c r="J93" s="84">
        <f>J91+J88+J84+J80+J76+J68+J60</f>
        <v>17115936</v>
      </c>
    </row>
    <row r="95" spans="4:12" x14ac:dyDescent="0.35">
      <c r="D95" s="85" t="s">
        <v>82</v>
      </c>
      <c r="E95" s="85"/>
      <c r="F95" s="85"/>
      <c r="G95" s="85"/>
      <c r="H95" s="85"/>
    </row>
    <row r="96" spans="4:12" x14ac:dyDescent="0.35">
      <c r="D96" s="78" t="s">
        <v>42</v>
      </c>
      <c r="E96" s="78" t="s">
        <v>43</v>
      </c>
      <c r="F96" s="78" t="s">
        <v>79</v>
      </c>
      <c r="G96" s="78" t="s">
        <v>80</v>
      </c>
      <c r="H96" s="78" t="s">
        <v>81</v>
      </c>
    </row>
    <row r="97" spans="4:8" x14ac:dyDescent="0.35">
      <c r="D97" s="61" t="s">
        <v>14</v>
      </c>
      <c r="E97" s="61" t="s">
        <v>15</v>
      </c>
      <c r="F97" s="86">
        <f>H5</f>
        <v>46856</v>
      </c>
      <c r="G97" s="86">
        <f>O5</f>
        <v>0</v>
      </c>
      <c r="H97" s="86">
        <f>I5</f>
        <v>46553</v>
      </c>
    </row>
    <row r="98" spans="4:8" x14ac:dyDescent="0.35">
      <c r="D98" s="61" t="s">
        <v>14</v>
      </c>
      <c r="E98" s="61" t="s">
        <v>17</v>
      </c>
      <c r="F98" s="86">
        <f>H6</f>
        <v>195817</v>
      </c>
      <c r="G98" s="86">
        <f>O6</f>
        <v>0</v>
      </c>
      <c r="H98" s="86">
        <f>I6</f>
        <v>195817</v>
      </c>
    </row>
    <row r="99" spans="4:8" x14ac:dyDescent="0.35">
      <c r="D99" s="61" t="s">
        <v>14</v>
      </c>
      <c r="E99" s="61" t="s">
        <v>18</v>
      </c>
      <c r="F99" s="86">
        <f>H7</f>
        <v>113070</v>
      </c>
      <c r="G99" s="86">
        <f>O7</f>
        <v>35123</v>
      </c>
      <c r="H99" s="86">
        <f>I7</f>
        <v>93380</v>
      </c>
    </row>
    <row r="100" spans="4:8" x14ac:dyDescent="0.35">
      <c r="D100" s="61" t="s">
        <v>14</v>
      </c>
      <c r="E100" s="61" t="s">
        <v>19</v>
      </c>
      <c r="F100" s="86">
        <f>H9</f>
        <v>97338</v>
      </c>
      <c r="G100" s="86">
        <f>O9</f>
        <v>92261</v>
      </c>
      <c r="H100" s="86">
        <f>I9</f>
        <v>86268</v>
      </c>
    </row>
    <row r="101" spans="4:8" x14ac:dyDescent="0.35">
      <c r="D101" s="61" t="s">
        <v>14</v>
      </c>
      <c r="E101" s="61" t="s">
        <v>20</v>
      </c>
      <c r="F101" s="86">
        <f>H10</f>
        <v>54880</v>
      </c>
      <c r="G101" s="86">
        <f>O10</f>
        <v>21023</v>
      </c>
      <c r="H101" s="86">
        <f>I10</f>
        <v>20673</v>
      </c>
    </row>
    <row r="102" spans="4:8" x14ac:dyDescent="0.35">
      <c r="D102" s="61" t="s">
        <v>14</v>
      </c>
      <c r="E102" s="61" t="s">
        <v>21</v>
      </c>
      <c r="F102" s="86" t="e">
        <f>#REF!+#REF!</f>
        <v>#REF!</v>
      </c>
      <c r="G102" s="86" t="e">
        <f>#REF!</f>
        <v>#REF!</v>
      </c>
      <c r="H102" s="86" t="e">
        <f>#REF!</f>
        <v>#REF!</v>
      </c>
    </row>
    <row r="103" spans="4:8" x14ac:dyDescent="0.35">
      <c r="D103" s="87" t="s">
        <v>45</v>
      </c>
      <c r="E103" s="87"/>
      <c r="F103" s="88" t="e">
        <f>SUM(F97:F102)</f>
        <v>#REF!</v>
      </c>
      <c r="G103" s="88" t="e">
        <f t="shared" ref="G103" si="13">SUM(G97:G102)</f>
        <v>#REF!</v>
      </c>
      <c r="H103" s="88" t="e">
        <f>SUM(H97:H102)</f>
        <v>#REF!</v>
      </c>
    </row>
    <row r="104" spans="4:8" x14ac:dyDescent="0.35">
      <c r="D104" s="78" t="s">
        <v>42</v>
      </c>
      <c r="E104" s="78" t="s">
        <v>43</v>
      </c>
      <c r="F104" s="89" t="s">
        <v>79</v>
      </c>
      <c r="G104" s="89" t="s">
        <v>80</v>
      </c>
      <c r="H104" s="89" t="s">
        <v>81</v>
      </c>
    </row>
    <row r="105" spans="4:8" x14ac:dyDescent="0.35">
      <c r="D105" s="61" t="s">
        <v>46</v>
      </c>
      <c r="E105" s="61" t="s">
        <v>48</v>
      </c>
      <c r="F105" s="86">
        <f>H14</f>
        <v>139523</v>
      </c>
      <c r="G105" s="86">
        <f>O14</f>
        <v>32681</v>
      </c>
      <c r="H105" s="86">
        <f>I14</f>
        <v>25448</v>
      </c>
    </row>
    <row r="106" spans="4:8" x14ac:dyDescent="0.35">
      <c r="D106" s="61" t="s">
        <v>46</v>
      </c>
      <c r="E106" s="61" t="s">
        <v>47</v>
      </c>
      <c r="F106" s="86">
        <f>H15</f>
        <v>174166</v>
      </c>
      <c r="G106" s="86">
        <f>O15</f>
        <v>105920</v>
      </c>
      <c r="H106" s="86">
        <f>I15</f>
        <v>127414</v>
      </c>
    </row>
    <row r="107" spans="4:8" x14ac:dyDescent="0.35">
      <c r="D107" s="61" t="s">
        <v>27</v>
      </c>
      <c r="E107" s="61" t="s">
        <v>47</v>
      </c>
      <c r="F107" s="86">
        <v>0</v>
      </c>
      <c r="G107" s="86">
        <v>0</v>
      </c>
      <c r="H107" s="86">
        <v>0</v>
      </c>
    </row>
    <row r="108" spans="4:8" x14ac:dyDescent="0.35">
      <c r="D108" s="87" t="s">
        <v>45</v>
      </c>
      <c r="E108" s="87"/>
      <c r="F108" s="88">
        <f>SUM(F105:F107)</f>
        <v>313689</v>
      </c>
      <c r="G108" s="88">
        <f>SUM(G105:G107)</f>
        <v>138601</v>
      </c>
      <c r="H108" s="88">
        <f>SUM(H105:H107)</f>
        <v>152862</v>
      </c>
    </row>
    <row r="109" spans="4:8" x14ac:dyDescent="0.35">
      <c r="D109" s="78" t="s">
        <v>42</v>
      </c>
      <c r="E109" s="78" t="s">
        <v>43</v>
      </c>
      <c r="F109" s="89" t="s">
        <v>79</v>
      </c>
      <c r="G109" s="89" t="s">
        <v>80</v>
      </c>
      <c r="H109" s="89" t="s">
        <v>81</v>
      </c>
    </row>
    <row r="110" spans="4:8" x14ac:dyDescent="0.35">
      <c r="D110" s="61" t="s">
        <v>49</v>
      </c>
      <c r="E110" s="61" t="s">
        <v>51</v>
      </c>
      <c r="F110" s="86" t="e">
        <f>#REF!</f>
        <v>#REF!</v>
      </c>
      <c r="G110" s="86" t="e">
        <f>#REF!</f>
        <v>#REF!</v>
      </c>
      <c r="H110" s="86" t="e">
        <f>#REF!</f>
        <v>#REF!</v>
      </c>
    </row>
    <row r="111" spans="4:8" x14ac:dyDescent="0.35">
      <c r="D111" s="61" t="s">
        <v>49</v>
      </c>
      <c r="E111" s="61" t="s">
        <v>18</v>
      </c>
      <c r="F111" s="86">
        <f>H30</f>
        <v>0</v>
      </c>
      <c r="G111" s="86">
        <f>O30</f>
        <v>0</v>
      </c>
      <c r="H111" s="86">
        <v>0</v>
      </c>
    </row>
    <row r="112" spans="4:8" x14ac:dyDescent="0.35">
      <c r="D112" s="61" t="s">
        <v>49</v>
      </c>
      <c r="E112" s="61" t="s">
        <v>50</v>
      </c>
      <c r="F112" s="86" t="e">
        <f>#REF!+#REF!</f>
        <v>#REF!</v>
      </c>
      <c r="G112" s="86" t="e">
        <f>#REF!</f>
        <v>#REF!</v>
      </c>
      <c r="H112" s="86" t="e">
        <f>#REF!+#REF!</f>
        <v>#REF!</v>
      </c>
    </row>
    <row r="113" spans="4:8" x14ac:dyDescent="0.35">
      <c r="D113" s="87" t="s">
        <v>45</v>
      </c>
      <c r="E113" s="87"/>
      <c r="F113" s="88" t="e">
        <f>SUM(F110:F112)</f>
        <v>#REF!</v>
      </c>
      <c r="G113" s="88" t="e">
        <f>SUM(G110:G112)</f>
        <v>#REF!</v>
      </c>
      <c r="H113" s="88" t="e">
        <f>SUM(H110:H112)</f>
        <v>#REF!</v>
      </c>
    </row>
    <row r="114" spans="4:8" x14ac:dyDescent="0.35">
      <c r="D114" s="78" t="s">
        <v>42</v>
      </c>
      <c r="E114" s="78" t="s">
        <v>43</v>
      </c>
      <c r="F114" s="89" t="s">
        <v>79</v>
      </c>
      <c r="G114" s="89" t="s">
        <v>80</v>
      </c>
      <c r="H114" s="89" t="s">
        <v>81</v>
      </c>
    </row>
    <row r="115" spans="4:8" x14ac:dyDescent="0.35">
      <c r="D115" s="61" t="s">
        <v>52</v>
      </c>
      <c r="E115" s="61" t="s">
        <v>53</v>
      </c>
      <c r="F115" s="86">
        <f>H22</f>
        <v>0</v>
      </c>
      <c r="G115" s="86">
        <f>O22</f>
        <v>0</v>
      </c>
      <c r="H115" s="86">
        <f>I22</f>
        <v>0</v>
      </c>
    </row>
    <row r="116" spans="4:8" x14ac:dyDescent="0.35">
      <c r="D116" s="87" t="s">
        <v>45</v>
      </c>
      <c r="E116" s="87"/>
      <c r="F116" s="88">
        <f>SUM(F115)</f>
        <v>0</v>
      </c>
      <c r="G116" s="88">
        <f t="shared" ref="G116" si="14">SUM(G115)</f>
        <v>0</v>
      </c>
      <c r="H116" s="88">
        <f>SUM(H115)</f>
        <v>0</v>
      </c>
    </row>
    <row r="117" spans="4:8" x14ac:dyDescent="0.35">
      <c r="D117" s="78" t="s">
        <v>42</v>
      </c>
      <c r="E117" s="78" t="s">
        <v>43</v>
      </c>
      <c r="F117" s="89" t="s">
        <v>79</v>
      </c>
      <c r="G117" s="89" t="s">
        <v>80</v>
      </c>
      <c r="H117" s="89" t="s">
        <v>81</v>
      </c>
    </row>
    <row r="118" spans="4:8" x14ac:dyDescent="0.35">
      <c r="D118" s="61" t="s">
        <v>54</v>
      </c>
      <c r="E118" s="61" t="s">
        <v>53</v>
      </c>
      <c r="F118" s="86">
        <f>H25</f>
        <v>0</v>
      </c>
      <c r="G118" s="86">
        <f>O25</f>
        <v>0</v>
      </c>
      <c r="H118" s="86">
        <f>I25</f>
        <v>0</v>
      </c>
    </row>
    <row r="119" spans="4:8" x14ac:dyDescent="0.35">
      <c r="D119" s="61" t="s">
        <v>54</v>
      </c>
      <c r="E119" s="61" t="s">
        <v>18</v>
      </c>
      <c r="F119" s="86">
        <f>H26</f>
        <v>0</v>
      </c>
      <c r="G119" s="86">
        <f>O26</f>
        <v>0</v>
      </c>
      <c r="H119" s="86">
        <f>I26</f>
        <v>0</v>
      </c>
    </row>
    <row r="120" spans="4:8" x14ac:dyDescent="0.35">
      <c r="D120" s="87" t="s">
        <v>45</v>
      </c>
      <c r="E120" s="87"/>
      <c r="F120" s="88">
        <f>SUM(F118:F119)</f>
        <v>0</v>
      </c>
      <c r="G120" s="88">
        <f t="shared" ref="G120" si="15">SUM(G118:G119)</f>
        <v>0</v>
      </c>
      <c r="H120" s="88">
        <f>SUM(H118:H119)</f>
        <v>0</v>
      </c>
    </row>
    <row r="121" spans="4:8" x14ac:dyDescent="0.35">
      <c r="D121" s="90"/>
      <c r="E121" s="90"/>
      <c r="F121" s="91" t="e">
        <f>F120+F116+F113+F108+F103</f>
        <v>#REF!</v>
      </c>
      <c r="G121" s="91" t="e">
        <f t="shared" ref="G121" si="16">G120+G116+G113+G108+G103</f>
        <v>#REF!</v>
      </c>
      <c r="H121" s="91" t="e">
        <f>H120+H116+H113+H108+H103</f>
        <v>#REF!</v>
      </c>
    </row>
  </sheetData>
  <mergeCells count="43">
    <mergeCell ref="D74:E74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62:E62"/>
    <mergeCell ref="K51:L51"/>
    <mergeCell ref="M51:O51"/>
    <mergeCell ref="H52:J52"/>
    <mergeCell ref="K52:K53"/>
    <mergeCell ref="C55:E55"/>
    <mergeCell ref="C56:E56"/>
    <mergeCell ref="D57:E57"/>
    <mergeCell ref="D58:E58"/>
    <mergeCell ref="D59:E59"/>
    <mergeCell ref="D60:E60"/>
    <mergeCell ref="D61:E61"/>
    <mergeCell ref="K48:L48"/>
    <mergeCell ref="M48:O48"/>
    <mergeCell ref="K49:L49"/>
    <mergeCell ref="M49:O49"/>
    <mergeCell ref="K50:L50"/>
    <mergeCell ref="M50:O50"/>
    <mergeCell ref="M47:O47"/>
    <mergeCell ref="C2:O2"/>
    <mergeCell ref="C3:O3"/>
    <mergeCell ref="H37:I37"/>
    <mergeCell ref="K38:L38"/>
    <mergeCell ref="M38:O38"/>
    <mergeCell ref="C39:D39"/>
    <mergeCell ref="K39:L39"/>
    <mergeCell ref="K40:L40"/>
    <mergeCell ref="K41:L41"/>
    <mergeCell ref="K42:L42"/>
    <mergeCell ref="K43:L43"/>
    <mergeCell ref="K47:L47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6"/>
  <sheetViews>
    <sheetView zoomScale="54" zoomScaleNormal="54" workbookViewId="0">
      <selection activeCell="J49" sqref="J49"/>
    </sheetView>
  </sheetViews>
  <sheetFormatPr defaultRowHeight="23.25" x14ac:dyDescent="0.35"/>
  <cols>
    <col min="1" max="1" width="5.5703125" style="104" customWidth="1"/>
    <col min="2" max="2" width="0.140625" style="104" hidden="1" customWidth="1"/>
    <col min="3" max="3" width="20.85546875" style="104" customWidth="1"/>
    <col min="4" max="4" width="26.42578125" style="104" customWidth="1"/>
    <col min="5" max="5" width="18.140625" style="104" customWidth="1"/>
    <col min="6" max="6" width="32.28515625" style="104" bestFit="1" customWidth="1"/>
    <col min="7" max="7" width="24" style="104" customWidth="1"/>
    <col min="8" max="8" width="22.85546875" style="104" customWidth="1"/>
    <col min="9" max="9" width="23.5703125" style="104" customWidth="1"/>
    <col min="10" max="10" width="26.5703125" style="104" bestFit="1" customWidth="1"/>
    <col min="11" max="11" width="23.7109375" style="104" customWidth="1"/>
    <col min="12" max="12" width="22.5703125" style="104" customWidth="1"/>
    <col min="13" max="13" width="26.42578125" style="104" customWidth="1"/>
    <col min="14" max="14" width="17.5703125" style="104" customWidth="1"/>
    <col min="15" max="15" width="22" style="104" customWidth="1"/>
    <col min="16" max="16" width="7.5703125" style="104" customWidth="1"/>
    <col min="17" max="17" width="14.28515625" style="104" bestFit="1" customWidth="1"/>
    <col min="18" max="18" width="11.42578125" style="104" customWidth="1"/>
    <col min="19" max="16384" width="9.140625" style="104"/>
  </cols>
  <sheetData>
    <row r="2" spans="1:16" x14ac:dyDescent="0.35">
      <c r="C2" s="246">
        <v>46101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8"/>
    </row>
    <row r="3" spans="1:16" x14ac:dyDescent="0.35">
      <c r="C3" s="249" t="s">
        <v>0</v>
      </c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6" ht="93" x14ac:dyDescent="0.35">
      <c r="A4" s="177"/>
      <c r="C4" s="106" t="s">
        <v>1</v>
      </c>
      <c r="D4" s="106" t="s">
        <v>2</v>
      </c>
      <c r="E4" s="106" t="s">
        <v>3</v>
      </c>
      <c r="F4" s="106" t="s">
        <v>4</v>
      </c>
      <c r="G4" s="106" t="s">
        <v>5</v>
      </c>
      <c r="H4" s="106" t="s">
        <v>6</v>
      </c>
      <c r="I4" s="106" t="s">
        <v>7</v>
      </c>
      <c r="J4" s="106" t="s">
        <v>8</v>
      </c>
      <c r="K4" s="107" t="s">
        <v>9</v>
      </c>
      <c r="L4" s="107" t="s">
        <v>10</v>
      </c>
      <c r="M4" s="108" t="s">
        <v>11</v>
      </c>
      <c r="N4" s="109" t="s">
        <v>12</v>
      </c>
      <c r="O4" s="106" t="s">
        <v>13</v>
      </c>
    </row>
    <row r="5" spans="1:16" x14ac:dyDescent="0.35">
      <c r="A5" s="110"/>
      <c r="C5" s="111" t="s">
        <v>14</v>
      </c>
      <c r="D5" s="112" t="s">
        <v>15</v>
      </c>
      <c r="E5" s="113" t="s">
        <v>86</v>
      </c>
      <c r="F5" s="114">
        <v>0</v>
      </c>
      <c r="G5" s="114">
        <v>0</v>
      </c>
      <c r="H5" s="115">
        <f>F5-G5</f>
        <v>0</v>
      </c>
      <c r="I5" s="115">
        <f>H5-J5</f>
        <v>0</v>
      </c>
      <c r="J5" s="116">
        <v>0</v>
      </c>
      <c r="K5" s="117">
        <v>0</v>
      </c>
      <c r="L5" s="116">
        <v>0</v>
      </c>
      <c r="M5" s="114">
        <f>'19-03-2026'!J54</f>
        <v>430197</v>
      </c>
      <c r="N5" s="117">
        <v>0</v>
      </c>
      <c r="O5" s="118">
        <v>0</v>
      </c>
      <c r="P5" s="119"/>
    </row>
    <row r="6" spans="1:16" x14ac:dyDescent="0.35">
      <c r="A6" s="110"/>
      <c r="C6" s="111" t="s">
        <v>14</v>
      </c>
      <c r="D6" s="112" t="s">
        <v>17</v>
      </c>
      <c r="E6" s="113" t="s">
        <v>86</v>
      </c>
      <c r="F6" s="114">
        <v>36943</v>
      </c>
      <c r="G6" s="114">
        <v>0</v>
      </c>
      <c r="H6" s="115">
        <f t="shared" ref="H6:H10" si="0">F6-G6</f>
        <v>36943</v>
      </c>
      <c r="I6" s="115">
        <f t="shared" ref="I6:I10" si="1">H6-J6</f>
        <v>36943</v>
      </c>
      <c r="J6" s="116">
        <v>0</v>
      </c>
      <c r="K6" s="117">
        <v>0</v>
      </c>
      <c r="L6" s="116">
        <v>0</v>
      </c>
      <c r="M6" s="114">
        <f>'19-03-2026'!J55</f>
        <v>3894960</v>
      </c>
      <c r="N6" s="117">
        <v>0</v>
      </c>
      <c r="O6" s="118">
        <v>674708</v>
      </c>
    </row>
    <row r="7" spans="1:16" x14ac:dyDescent="0.35">
      <c r="A7" s="110"/>
      <c r="C7" s="111" t="s">
        <v>14</v>
      </c>
      <c r="D7" s="112" t="s">
        <v>18</v>
      </c>
      <c r="E7" s="113" t="s">
        <v>97</v>
      </c>
      <c r="F7" s="114">
        <v>48985</v>
      </c>
      <c r="G7" s="114">
        <v>0</v>
      </c>
      <c r="H7" s="115">
        <f t="shared" si="0"/>
        <v>48985</v>
      </c>
      <c r="I7" s="115">
        <f t="shared" si="1"/>
        <v>0</v>
      </c>
      <c r="J7" s="116">
        <v>48985</v>
      </c>
      <c r="K7" s="117">
        <v>0</v>
      </c>
      <c r="L7" s="116">
        <v>0</v>
      </c>
      <c r="M7" s="114">
        <f>'19-03-2026'!J56</f>
        <v>2062504</v>
      </c>
      <c r="N7" s="117">
        <v>0</v>
      </c>
      <c r="O7" s="118">
        <v>147810</v>
      </c>
    </row>
    <row r="8" spans="1:16" x14ac:dyDescent="0.35">
      <c r="A8" s="110"/>
      <c r="C8" s="111" t="s">
        <v>14</v>
      </c>
      <c r="D8" s="112" t="s">
        <v>19</v>
      </c>
      <c r="E8" s="113" t="s">
        <v>95</v>
      </c>
      <c r="F8" s="114">
        <v>72979</v>
      </c>
      <c r="G8" s="114">
        <v>1592</v>
      </c>
      <c r="H8" s="115">
        <f t="shared" si="0"/>
        <v>71387</v>
      </c>
      <c r="I8" s="115">
        <f t="shared" si="1"/>
        <v>60339</v>
      </c>
      <c r="J8" s="116">
        <v>11048</v>
      </c>
      <c r="K8" s="117">
        <v>0</v>
      </c>
      <c r="L8" s="116">
        <v>0</v>
      </c>
      <c r="M8" s="114">
        <f>'19-03-2026'!J57</f>
        <v>1411469</v>
      </c>
      <c r="N8" s="117">
        <v>0</v>
      </c>
      <c r="O8" s="118">
        <v>109491</v>
      </c>
    </row>
    <row r="9" spans="1:16" x14ac:dyDescent="0.35">
      <c r="A9" s="110"/>
      <c r="C9" s="111" t="s">
        <v>14</v>
      </c>
      <c r="D9" s="112" t="s">
        <v>20</v>
      </c>
      <c r="E9" s="113" t="s">
        <v>97</v>
      </c>
      <c r="F9" s="114">
        <v>51492</v>
      </c>
      <c r="G9" s="114">
        <v>0</v>
      </c>
      <c r="H9" s="115">
        <f t="shared" si="0"/>
        <v>51492</v>
      </c>
      <c r="I9" s="115">
        <f t="shared" si="1"/>
        <v>17466</v>
      </c>
      <c r="J9" s="116">
        <v>34026</v>
      </c>
      <c r="K9" s="117">
        <v>0</v>
      </c>
      <c r="L9" s="116">
        <v>0</v>
      </c>
      <c r="M9" s="114">
        <f>'19-03-2026'!J58</f>
        <v>1502738</v>
      </c>
      <c r="N9" s="117">
        <v>0</v>
      </c>
      <c r="O9" s="118">
        <v>134637</v>
      </c>
    </row>
    <row r="10" spans="1:16" x14ac:dyDescent="0.35">
      <c r="A10" s="110"/>
      <c r="C10" s="111" t="s">
        <v>14</v>
      </c>
      <c r="D10" s="112" t="s">
        <v>21</v>
      </c>
      <c r="E10" s="113" t="s">
        <v>98</v>
      </c>
      <c r="F10" s="114">
        <v>38637</v>
      </c>
      <c r="G10" s="114">
        <v>0</v>
      </c>
      <c r="H10" s="115">
        <f t="shared" si="0"/>
        <v>38637</v>
      </c>
      <c r="I10" s="115">
        <f t="shared" si="1"/>
        <v>29690</v>
      </c>
      <c r="J10" s="116">
        <v>8947</v>
      </c>
      <c r="K10" s="117">
        <v>0</v>
      </c>
      <c r="L10" s="116">
        <v>0</v>
      </c>
      <c r="M10" s="114">
        <f>'19-03-2026'!J59</f>
        <v>797366</v>
      </c>
      <c r="N10" s="117">
        <v>0</v>
      </c>
      <c r="O10" s="118">
        <v>80207</v>
      </c>
    </row>
    <row r="11" spans="1:16" x14ac:dyDescent="0.35">
      <c r="A11" s="120"/>
      <c r="C11" s="106" t="s">
        <v>22</v>
      </c>
      <c r="D11" s="106"/>
      <c r="E11" s="106"/>
      <c r="F11" s="121">
        <f t="shared" ref="F11:O11" si="2">SUM(F5:F10)</f>
        <v>249036</v>
      </c>
      <c r="G11" s="121">
        <f t="shared" si="2"/>
        <v>1592</v>
      </c>
      <c r="H11" s="121">
        <f t="shared" si="2"/>
        <v>247444</v>
      </c>
      <c r="I11" s="121">
        <f t="shared" si="2"/>
        <v>144438</v>
      </c>
      <c r="J11" s="121">
        <f t="shared" si="2"/>
        <v>103006</v>
      </c>
      <c r="K11" s="121">
        <f t="shared" si="2"/>
        <v>0</v>
      </c>
      <c r="L11" s="121">
        <f t="shared" si="2"/>
        <v>0</v>
      </c>
      <c r="M11" s="173">
        <f t="shared" si="2"/>
        <v>10099234</v>
      </c>
      <c r="N11" s="121">
        <f t="shared" si="2"/>
        <v>0</v>
      </c>
      <c r="O11" s="121">
        <f t="shared" si="2"/>
        <v>1146853</v>
      </c>
    </row>
    <row r="12" spans="1:16" x14ac:dyDescent="0.35">
      <c r="C12" s="111" t="s">
        <v>23</v>
      </c>
      <c r="D12" s="112" t="s">
        <v>24</v>
      </c>
      <c r="E12" s="113" t="s">
        <v>85</v>
      </c>
      <c r="F12" s="114">
        <v>76381</v>
      </c>
      <c r="G12" s="114">
        <v>0</v>
      </c>
      <c r="H12" s="115">
        <f t="shared" ref="H12:H29" si="3">F12-G12</f>
        <v>76381</v>
      </c>
      <c r="I12" s="115">
        <f t="shared" ref="I12:I29" si="4">H12-J12</f>
        <v>57884</v>
      </c>
      <c r="J12" s="116">
        <v>18497</v>
      </c>
      <c r="K12" s="117">
        <v>0</v>
      </c>
      <c r="L12" s="116">
        <v>0</v>
      </c>
      <c r="M12" s="114">
        <f>'19-03-2026'!J63</f>
        <v>475241</v>
      </c>
      <c r="N12" s="117">
        <v>0</v>
      </c>
      <c r="O12" s="116">
        <v>102317</v>
      </c>
    </row>
    <row r="13" spans="1:16" x14ac:dyDescent="0.35">
      <c r="C13" s="111" t="s">
        <v>23</v>
      </c>
      <c r="D13" s="112" t="s">
        <v>25</v>
      </c>
      <c r="E13" s="113" t="s">
        <v>85</v>
      </c>
      <c r="F13" s="114">
        <v>56269</v>
      </c>
      <c r="G13" s="114">
        <v>7830</v>
      </c>
      <c r="H13" s="115">
        <f t="shared" si="3"/>
        <v>48439</v>
      </c>
      <c r="I13" s="115">
        <f t="shared" si="4"/>
        <v>18575</v>
      </c>
      <c r="J13" s="116">
        <v>29864</v>
      </c>
      <c r="K13" s="117">
        <v>0</v>
      </c>
      <c r="L13" s="116">
        <v>0</v>
      </c>
      <c r="M13" s="114">
        <f>'19-03-2026'!J64</f>
        <v>2340003</v>
      </c>
      <c r="N13" s="117">
        <v>0</v>
      </c>
      <c r="O13" s="116">
        <v>110715</v>
      </c>
    </row>
    <row r="14" spans="1:16" x14ac:dyDescent="0.35">
      <c r="C14" s="111" t="s">
        <v>23</v>
      </c>
      <c r="D14" s="112" t="s">
        <v>26</v>
      </c>
      <c r="E14" s="113" t="s">
        <v>15</v>
      </c>
      <c r="F14" s="114">
        <v>0</v>
      </c>
      <c r="G14" s="114">
        <v>0</v>
      </c>
      <c r="H14" s="115">
        <f t="shared" si="3"/>
        <v>0</v>
      </c>
      <c r="I14" s="115">
        <f t="shared" si="4"/>
        <v>0</v>
      </c>
      <c r="J14" s="116">
        <v>0</v>
      </c>
      <c r="K14" s="117">
        <v>0</v>
      </c>
      <c r="L14" s="116">
        <v>0</v>
      </c>
      <c r="M14" s="114">
        <f>'19-03-2026'!J65</f>
        <v>379215</v>
      </c>
      <c r="N14" s="117">
        <v>0</v>
      </c>
      <c r="O14" s="116">
        <v>0</v>
      </c>
    </row>
    <row r="15" spans="1:16" x14ac:dyDescent="0.35">
      <c r="C15" s="111" t="s">
        <v>23</v>
      </c>
      <c r="D15" s="112" t="s">
        <v>20</v>
      </c>
      <c r="E15" s="113" t="s">
        <v>97</v>
      </c>
      <c r="F15" s="114">
        <v>0</v>
      </c>
      <c r="G15" s="114">
        <v>0</v>
      </c>
      <c r="H15" s="115">
        <f t="shared" si="3"/>
        <v>0</v>
      </c>
      <c r="I15" s="115">
        <f t="shared" si="4"/>
        <v>0</v>
      </c>
      <c r="J15" s="116">
        <v>0</v>
      </c>
      <c r="K15" s="117">
        <v>0</v>
      </c>
      <c r="L15" s="116">
        <v>0</v>
      </c>
      <c r="M15" s="114">
        <v>0</v>
      </c>
      <c r="N15" s="117">
        <v>0</v>
      </c>
      <c r="O15" s="116">
        <v>0</v>
      </c>
    </row>
    <row r="16" spans="1:16" x14ac:dyDescent="0.35">
      <c r="C16" s="111" t="s">
        <v>23</v>
      </c>
      <c r="D16" s="112" t="s">
        <v>18</v>
      </c>
      <c r="E16" s="113" t="s">
        <v>97</v>
      </c>
      <c r="F16" s="114">
        <v>9473</v>
      </c>
      <c r="G16" s="114">
        <v>0</v>
      </c>
      <c r="H16" s="115">
        <f t="shared" si="3"/>
        <v>9473</v>
      </c>
      <c r="I16" s="115">
        <f t="shared" si="4"/>
        <v>0</v>
      </c>
      <c r="J16" s="116">
        <v>9473</v>
      </c>
      <c r="K16" s="117">
        <v>0</v>
      </c>
      <c r="L16" s="116">
        <v>0</v>
      </c>
      <c r="M16" s="114">
        <v>0</v>
      </c>
      <c r="N16" s="117">
        <v>0</v>
      </c>
      <c r="O16" s="116">
        <v>0</v>
      </c>
    </row>
    <row r="17" spans="3:15" x14ac:dyDescent="0.35">
      <c r="C17" s="111" t="s">
        <v>23</v>
      </c>
      <c r="D17" s="106"/>
      <c r="E17" s="106"/>
      <c r="F17" s="121">
        <f>SUM(F12:F16)</f>
        <v>142123</v>
      </c>
      <c r="G17" s="121">
        <f>SUM(G12:G16)</f>
        <v>7830</v>
      </c>
      <c r="H17" s="121">
        <f>SUM(H12:H15)</f>
        <v>124820</v>
      </c>
      <c r="I17" s="121">
        <f>SUM(I12:I15)</f>
        <v>76459</v>
      </c>
      <c r="J17" s="121">
        <f>SUM(J12:J16)</f>
        <v>57834</v>
      </c>
      <c r="K17" s="121">
        <f>SUM(K12:K15)</f>
        <v>0</v>
      </c>
      <c r="L17" s="121">
        <f>SUM(L12:L15)</f>
        <v>0</v>
      </c>
      <c r="M17" s="121">
        <f>SUM(M12:M16)</f>
        <v>3194459</v>
      </c>
      <c r="N17" s="121">
        <f>SUM(N12:N15)</f>
        <v>0</v>
      </c>
      <c r="O17" s="121">
        <f>SUM(O12:O16)</f>
        <v>213032</v>
      </c>
    </row>
    <row r="18" spans="3:15" x14ac:dyDescent="0.35">
      <c r="C18" s="111" t="s">
        <v>27</v>
      </c>
      <c r="D18" s="112" t="s">
        <v>25</v>
      </c>
      <c r="E18" s="113" t="s">
        <v>16</v>
      </c>
      <c r="F18" s="114">
        <v>0</v>
      </c>
      <c r="G18" s="114">
        <v>0</v>
      </c>
      <c r="H18" s="115">
        <f t="shared" si="3"/>
        <v>0</v>
      </c>
      <c r="I18" s="115">
        <f t="shared" si="4"/>
        <v>0</v>
      </c>
      <c r="J18" s="116">
        <v>0</v>
      </c>
      <c r="K18" s="117">
        <v>0</v>
      </c>
      <c r="L18" s="116">
        <v>0</v>
      </c>
      <c r="M18" s="114">
        <f>'19-03-2026'!J67</f>
        <v>51257</v>
      </c>
      <c r="N18" s="117">
        <v>0</v>
      </c>
      <c r="O18" s="116">
        <v>0</v>
      </c>
    </row>
    <row r="19" spans="3:15" x14ac:dyDescent="0.35">
      <c r="C19" s="106"/>
      <c r="D19" s="106"/>
      <c r="E19" s="106"/>
      <c r="F19" s="121">
        <f>SUM(F18)</f>
        <v>0</v>
      </c>
      <c r="G19" s="121">
        <f t="shared" ref="G19:O19" si="5">SUM(G18)</f>
        <v>0</v>
      </c>
      <c r="H19" s="121">
        <f t="shared" si="5"/>
        <v>0</v>
      </c>
      <c r="I19" s="121">
        <f t="shared" si="5"/>
        <v>0</v>
      </c>
      <c r="J19" s="121">
        <f t="shared" si="5"/>
        <v>0</v>
      </c>
      <c r="K19" s="121">
        <f t="shared" si="5"/>
        <v>0</v>
      </c>
      <c r="L19" s="121">
        <f t="shared" si="5"/>
        <v>0</v>
      </c>
      <c r="M19" s="121">
        <f>SUM(M18)</f>
        <v>51257</v>
      </c>
      <c r="N19" s="121">
        <f t="shared" si="5"/>
        <v>0</v>
      </c>
      <c r="O19" s="121">
        <f t="shared" si="5"/>
        <v>0</v>
      </c>
    </row>
    <row r="20" spans="3:15" x14ac:dyDescent="0.35">
      <c r="C20" s="111" t="s">
        <v>28</v>
      </c>
      <c r="D20" s="112" t="s">
        <v>29</v>
      </c>
      <c r="E20" s="113" t="s">
        <v>16</v>
      </c>
      <c r="F20" s="114">
        <v>0</v>
      </c>
      <c r="G20" s="114">
        <v>0</v>
      </c>
      <c r="H20" s="115">
        <f t="shared" si="3"/>
        <v>0</v>
      </c>
      <c r="I20" s="115">
        <f t="shared" si="4"/>
        <v>0</v>
      </c>
      <c r="J20" s="116">
        <v>0</v>
      </c>
      <c r="K20" s="117">
        <v>0</v>
      </c>
      <c r="L20" s="116">
        <v>0</v>
      </c>
      <c r="M20" s="114">
        <f>'19-03-2026'!J78</f>
        <v>33969</v>
      </c>
      <c r="N20" s="117">
        <v>0</v>
      </c>
      <c r="O20" s="116">
        <v>0</v>
      </c>
    </row>
    <row r="21" spans="3:15" x14ac:dyDescent="0.35">
      <c r="C21" s="111" t="s">
        <v>28</v>
      </c>
      <c r="D21" s="112" t="s">
        <v>25</v>
      </c>
      <c r="E21" s="113" t="s">
        <v>16</v>
      </c>
      <c r="F21" s="114">
        <v>0</v>
      </c>
      <c r="G21" s="114">
        <v>0</v>
      </c>
      <c r="H21" s="115">
        <f t="shared" si="3"/>
        <v>0</v>
      </c>
      <c r="I21" s="115">
        <f t="shared" si="4"/>
        <v>0</v>
      </c>
      <c r="J21" s="116">
        <v>0</v>
      </c>
      <c r="K21" s="117">
        <v>0</v>
      </c>
      <c r="L21" s="116">
        <v>0</v>
      </c>
      <c r="M21" s="114">
        <f>'19-03-2026'!J79</f>
        <v>151366</v>
      </c>
      <c r="N21" s="117">
        <v>0</v>
      </c>
      <c r="O21" s="116">
        <v>0</v>
      </c>
    </row>
    <row r="22" spans="3:15" x14ac:dyDescent="0.35">
      <c r="C22" s="106" t="s">
        <v>22</v>
      </c>
      <c r="D22" s="106"/>
      <c r="E22" s="106"/>
      <c r="F22" s="121">
        <f t="shared" ref="F22:L22" si="6">SUM(F20:F21)</f>
        <v>0</v>
      </c>
      <c r="G22" s="121">
        <f t="shared" si="6"/>
        <v>0</v>
      </c>
      <c r="H22" s="121">
        <f t="shared" si="6"/>
        <v>0</v>
      </c>
      <c r="I22" s="121">
        <f t="shared" si="6"/>
        <v>0</v>
      </c>
      <c r="J22" s="121">
        <f t="shared" si="6"/>
        <v>0</v>
      </c>
      <c r="K22" s="121">
        <f>SUM(K20:K21)</f>
        <v>0</v>
      </c>
      <c r="L22" s="121">
        <f t="shared" si="6"/>
        <v>0</v>
      </c>
      <c r="M22" s="121">
        <f>SUM(M20:M21)</f>
        <v>185335</v>
      </c>
      <c r="N22" s="121">
        <f t="shared" ref="N22:O22" si="7">SUM(N20:N21)</f>
        <v>0</v>
      </c>
      <c r="O22" s="121">
        <f t="shared" si="7"/>
        <v>0</v>
      </c>
    </row>
    <row r="23" spans="3:15" x14ac:dyDescent="0.35">
      <c r="C23" s="111" t="s">
        <v>30</v>
      </c>
      <c r="D23" s="112" t="s">
        <v>29</v>
      </c>
      <c r="E23" s="113" t="s">
        <v>16</v>
      </c>
      <c r="F23" s="122">
        <v>0</v>
      </c>
      <c r="G23" s="122">
        <v>0</v>
      </c>
      <c r="H23" s="115">
        <f t="shared" si="3"/>
        <v>0</v>
      </c>
      <c r="I23" s="115">
        <f t="shared" si="4"/>
        <v>0</v>
      </c>
      <c r="J23" s="123">
        <v>0</v>
      </c>
      <c r="K23" s="124">
        <v>0</v>
      </c>
      <c r="L23" s="123">
        <v>0</v>
      </c>
      <c r="M23" s="122">
        <f>'19-03-2026'!J82</f>
        <v>89658</v>
      </c>
      <c r="N23" s="124">
        <v>0</v>
      </c>
      <c r="O23" s="123">
        <v>0</v>
      </c>
    </row>
    <row r="24" spans="3:15" x14ac:dyDescent="0.35">
      <c r="C24" s="111" t="s">
        <v>30</v>
      </c>
      <c r="D24" s="112" t="s">
        <v>31</v>
      </c>
      <c r="E24" s="113" t="s">
        <v>16</v>
      </c>
      <c r="F24" s="122">
        <v>0</v>
      </c>
      <c r="G24" s="122">
        <v>0</v>
      </c>
      <c r="H24" s="115">
        <f t="shared" si="3"/>
        <v>0</v>
      </c>
      <c r="I24" s="115">
        <f t="shared" si="4"/>
        <v>0</v>
      </c>
      <c r="J24" s="123">
        <v>0</v>
      </c>
      <c r="K24" s="124">
        <v>0</v>
      </c>
      <c r="L24" s="123">
        <v>0</v>
      </c>
      <c r="M24" s="122">
        <f>'19-03-2026'!J83</f>
        <v>17000</v>
      </c>
      <c r="N24" s="124">
        <v>0</v>
      </c>
      <c r="O24" s="123">
        <v>0</v>
      </c>
    </row>
    <row r="25" spans="3:15" x14ac:dyDescent="0.35">
      <c r="C25" s="106" t="s">
        <v>22</v>
      </c>
      <c r="D25" s="106"/>
      <c r="E25" s="106"/>
      <c r="F25" s="121">
        <f>SUM(F23:F24)</f>
        <v>0</v>
      </c>
      <c r="G25" s="121">
        <f t="shared" ref="G25:O25" si="8">SUM(G23:G24)</f>
        <v>0</v>
      </c>
      <c r="H25" s="121">
        <f t="shared" si="8"/>
        <v>0</v>
      </c>
      <c r="I25" s="121">
        <f t="shared" si="8"/>
        <v>0</v>
      </c>
      <c r="J25" s="121">
        <f t="shared" si="8"/>
        <v>0</v>
      </c>
      <c r="K25" s="121">
        <f t="shared" si="8"/>
        <v>0</v>
      </c>
      <c r="L25" s="121">
        <f t="shared" si="8"/>
        <v>0</v>
      </c>
      <c r="M25" s="121">
        <f t="shared" si="8"/>
        <v>106658</v>
      </c>
      <c r="N25" s="121">
        <f t="shared" si="8"/>
        <v>0</v>
      </c>
      <c r="O25" s="121">
        <f t="shared" si="8"/>
        <v>0</v>
      </c>
    </row>
    <row r="26" spans="3:15" x14ac:dyDescent="0.35">
      <c r="C26" s="111" t="s">
        <v>32</v>
      </c>
      <c r="D26" s="112" t="s">
        <v>33</v>
      </c>
      <c r="E26" s="113" t="s">
        <v>97</v>
      </c>
      <c r="F26" s="125">
        <v>3091</v>
      </c>
      <c r="G26" s="114">
        <v>0</v>
      </c>
      <c r="H26" s="115">
        <f t="shared" si="3"/>
        <v>3091</v>
      </c>
      <c r="I26" s="115">
        <f t="shared" si="4"/>
        <v>3091</v>
      </c>
      <c r="J26" s="116">
        <v>0</v>
      </c>
      <c r="K26" s="117">
        <v>0</v>
      </c>
      <c r="L26" s="116">
        <v>0</v>
      </c>
      <c r="M26" s="114">
        <f>'19-03-2026'!J70</f>
        <v>1671613</v>
      </c>
      <c r="N26" s="117">
        <v>0</v>
      </c>
      <c r="O26" s="116">
        <v>90267</v>
      </c>
    </row>
    <row r="27" spans="3:15" x14ac:dyDescent="0.35">
      <c r="C27" s="111" t="s">
        <v>32</v>
      </c>
      <c r="D27" s="112" t="s">
        <v>31</v>
      </c>
      <c r="E27" s="113" t="s">
        <v>16</v>
      </c>
      <c r="F27" s="125">
        <v>0</v>
      </c>
      <c r="G27" s="114">
        <v>0</v>
      </c>
      <c r="H27" s="115">
        <f t="shared" si="3"/>
        <v>0</v>
      </c>
      <c r="I27" s="115">
        <f t="shared" si="4"/>
        <v>0</v>
      </c>
      <c r="J27" s="116">
        <v>0</v>
      </c>
      <c r="K27" s="117">
        <v>0</v>
      </c>
      <c r="L27" s="116">
        <v>0</v>
      </c>
      <c r="M27" s="114">
        <f>'19-03-2026'!J71</f>
        <v>174473</v>
      </c>
      <c r="N27" s="117">
        <v>0</v>
      </c>
      <c r="O27" s="116">
        <v>0</v>
      </c>
    </row>
    <row r="28" spans="3:15" x14ac:dyDescent="0.35">
      <c r="C28" s="111" t="s">
        <v>32</v>
      </c>
      <c r="D28" s="112" t="s">
        <v>26</v>
      </c>
      <c r="E28" s="113" t="s">
        <v>16</v>
      </c>
      <c r="F28" s="125">
        <v>0</v>
      </c>
      <c r="G28" s="114">
        <v>0</v>
      </c>
      <c r="H28" s="115">
        <f t="shared" si="3"/>
        <v>0</v>
      </c>
      <c r="I28" s="115">
        <f t="shared" si="4"/>
        <v>0</v>
      </c>
      <c r="J28" s="116">
        <v>0</v>
      </c>
      <c r="K28" s="117">
        <v>0</v>
      </c>
      <c r="L28" s="116">
        <v>0</v>
      </c>
      <c r="M28" s="114">
        <f>'19-03-2026'!J72</f>
        <v>35126</v>
      </c>
      <c r="N28" s="117">
        <v>0</v>
      </c>
      <c r="O28" s="116">
        <v>0</v>
      </c>
    </row>
    <row r="29" spans="3:15" x14ac:dyDescent="0.35">
      <c r="C29" s="111" t="s">
        <v>32</v>
      </c>
      <c r="D29" s="112" t="s">
        <v>34</v>
      </c>
      <c r="E29" s="113" t="s">
        <v>84</v>
      </c>
      <c r="F29" s="125">
        <v>141289</v>
      </c>
      <c r="G29" s="114">
        <v>378</v>
      </c>
      <c r="H29" s="115">
        <f t="shared" si="3"/>
        <v>140911</v>
      </c>
      <c r="I29" s="115">
        <f t="shared" si="4"/>
        <v>130633</v>
      </c>
      <c r="J29" s="116">
        <v>10278</v>
      </c>
      <c r="K29" s="117">
        <v>0</v>
      </c>
      <c r="L29" s="116">
        <v>0</v>
      </c>
      <c r="M29" s="114">
        <f>'19-03-2026'!J73</f>
        <v>1382171</v>
      </c>
      <c r="N29" s="117">
        <v>0</v>
      </c>
      <c r="O29" s="116">
        <v>0</v>
      </c>
    </row>
    <row r="30" spans="3:15" x14ac:dyDescent="0.35">
      <c r="C30" s="106" t="s">
        <v>22</v>
      </c>
      <c r="D30" s="106"/>
      <c r="E30" s="106"/>
      <c r="F30" s="121">
        <f t="shared" ref="F30:O30" si="9">SUM(F26:F29)</f>
        <v>144380</v>
      </c>
      <c r="G30" s="121">
        <f t="shared" si="9"/>
        <v>378</v>
      </c>
      <c r="H30" s="121">
        <f t="shared" si="9"/>
        <v>144002</v>
      </c>
      <c r="I30" s="121">
        <f t="shared" si="9"/>
        <v>133724</v>
      </c>
      <c r="J30" s="121">
        <f t="shared" si="9"/>
        <v>10278</v>
      </c>
      <c r="K30" s="121">
        <f t="shared" si="9"/>
        <v>0</v>
      </c>
      <c r="L30" s="121">
        <f t="shared" si="9"/>
        <v>0</v>
      </c>
      <c r="M30" s="121">
        <f t="shared" si="9"/>
        <v>3263383</v>
      </c>
      <c r="N30" s="121">
        <f t="shared" si="9"/>
        <v>0</v>
      </c>
      <c r="O30" s="121">
        <f t="shared" si="9"/>
        <v>90267</v>
      </c>
    </row>
    <row r="31" spans="3:15" x14ac:dyDescent="0.35">
      <c r="C31" s="126" t="s">
        <v>35</v>
      </c>
      <c r="D31" s="126"/>
      <c r="E31" s="126"/>
      <c r="F31" s="127">
        <f t="shared" ref="F31:O31" si="10">F30+F25+F22+F19+F17+F11</f>
        <v>535539</v>
      </c>
      <c r="G31" s="127">
        <f t="shared" si="10"/>
        <v>9800</v>
      </c>
      <c r="H31" s="127">
        <f t="shared" si="10"/>
        <v>516266</v>
      </c>
      <c r="I31" s="127">
        <f t="shared" si="10"/>
        <v>354621</v>
      </c>
      <c r="J31" s="127">
        <f t="shared" si="10"/>
        <v>171118</v>
      </c>
      <c r="K31" s="127">
        <f t="shared" si="10"/>
        <v>0</v>
      </c>
      <c r="L31" s="127">
        <f t="shared" si="10"/>
        <v>0</v>
      </c>
      <c r="M31" s="127">
        <f t="shared" si="10"/>
        <v>16900326</v>
      </c>
      <c r="N31" s="127">
        <f t="shared" si="10"/>
        <v>0</v>
      </c>
      <c r="O31" s="127">
        <f t="shared" si="10"/>
        <v>1450152</v>
      </c>
    </row>
    <row r="32" spans="3:15" x14ac:dyDescent="0.35">
      <c r="F32" s="128" t="s">
        <v>36</v>
      </c>
      <c r="G32" s="116">
        <f>O11+L11+J11-K11</f>
        <v>1249859</v>
      </c>
      <c r="H32" s="252"/>
      <c r="I32" s="253"/>
      <c r="J32" s="129"/>
      <c r="K32" s="130"/>
      <c r="L32" s="130"/>
    </row>
    <row r="33" spans="3:15" x14ac:dyDescent="0.35">
      <c r="F33" s="131" t="s">
        <v>37</v>
      </c>
      <c r="G33" s="116">
        <f>O17+L17+J17-K17+O19+L19+J19-K19</f>
        <v>270866</v>
      </c>
      <c r="H33" s="132"/>
      <c r="I33" s="133" t="s">
        <v>89</v>
      </c>
      <c r="J33" s="133" t="s">
        <v>90</v>
      </c>
      <c r="K33" s="239" t="s">
        <v>88</v>
      </c>
      <c r="L33" s="238"/>
      <c r="M33" s="254" t="s">
        <v>87</v>
      </c>
      <c r="N33" s="255"/>
      <c r="O33" s="256"/>
    </row>
    <row r="34" spans="3:15" x14ac:dyDescent="0.35">
      <c r="C34" s="257" t="s">
        <v>68</v>
      </c>
      <c r="D34" s="258"/>
      <c r="F34" s="134" t="s">
        <v>38</v>
      </c>
      <c r="G34" s="116">
        <f>O22+L22+J22-K22</f>
        <v>0</v>
      </c>
      <c r="H34" s="132"/>
      <c r="I34" s="133"/>
      <c r="J34" s="135"/>
      <c r="K34" s="239"/>
      <c r="L34" s="238"/>
      <c r="M34" s="136"/>
      <c r="N34" s="137"/>
      <c r="O34" s="138"/>
    </row>
    <row r="35" spans="3:15" x14ac:dyDescent="0.35">
      <c r="C35" s="139"/>
      <c r="D35" s="139"/>
      <c r="F35" s="140" t="s">
        <v>30</v>
      </c>
      <c r="G35" s="116">
        <f>O25+L25+J25-K25</f>
        <v>0</v>
      </c>
      <c r="H35" s="132"/>
      <c r="I35" s="141"/>
      <c r="J35" s="135"/>
      <c r="K35" s="239"/>
      <c r="L35" s="238"/>
      <c r="M35" s="136"/>
      <c r="N35" s="137"/>
      <c r="O35" s="138"/>
    </row>
    <row r="36" spans="3:15" x14ac:dyDescent="0.35">
      <c r="C36" s="139"/>
      <c r="D36" s="139"/>
      <c r="F36" s="128" t="s">
        <v>39</v>
      </c>
      <c r="G36" s="116">
        <f>O30+L30+J30-K30</f>
        <v>100545</v>
      </c>
      <c r="H36" s="132"/>
      <c r="I36" s="141"/>
      <c r="J36" s="135"/>
      <c r="K36" s="239"/>
      <c r="L36" s="238"/>
      <c r="M36" s="136"/>
      <c r="N36" s="137"/>
      <c r="O36" s="138"/>
    </row>
    <row r="37" spans="3:15" x14ac:dyDescent="0.35">
      <c r="C37" s="139"/>
      <c r="D37" s="139"/>
      <c r="F37" s="142" t="s">
        <v>40</v>
      </c>
      <c r="G37" s="143">
        <f>SUM(G32:G36)</f>
        <v>1621270</v>
      </c>
      <c r="I37" s="139"/>
      <c r="J37" s="135"/>
      <c r="K37" s="239"/>
      <c r="L37" s="238"/>
      <c r="M37" s="136"/>
      <c r="N37" s="137"/>
      <c r="O37" s="138"/>
    </row>
    <row r="38" spans="3:15" x14ac:dyDescent="0.35">
      <c r="C38" s="139"/>
      <c r="D38" s="139"/>
      <c r="F38" s="144"/>
      <c r="G38" s="145"/>
      <c r="I38" s="139"/>
      <c r="J38" s="135"/>
      <c r="K38" s="239"/>
      <c r="L38" s="238"/>
      <c r="M38" s="136"/>
      <c r="N38" s="137"/>
      <c r="O38" s="138"/>
    </row>
    <row r="39" spans="3:15" x14ac:dyDescent="0.35">
      <c r="C39" s="139"/>
      <c r="D39" s="139"/>
      <c r="F39" s="144"/>
      <c r="G39" s="145"/>
      <c r="I39" s="139"/>
      <c r="J39" s="135"/>
      <c r="K39" s="137"/>
      <c r="L39" s="137"/>
      <c r="M39" s="136"/>
      <c r="N39" s="137"/>
      <c r="O39" s="138"/>
    </row>
    <row r="40" spans="3:15" x14ac:dyDescent="0.35">
      <c r="C40" s="139"/>
      <c r="D40" s="139"/>
      <c r="F40" s="144"/>
      <c r="G40" s="145"/>
      <c r="I40" s="139"/>
      <c r="J40" s="135"/>
      <c r="K40" s="137"/>
      <c r="L40" s="137"/>
      <c r="M40" s="136"/>
      <c r="N40" s="137"/>
      <c r="O40" s="138"/>
    </row>
    <row r="41" spans="3:15" x14ac:dyDescent="0.35">
      <c r="C41" s="139"/>
      <c r="D41" s="139"/>
      <c r="F41" s="144"/>
      <c r="G41" s="145"/>
      <c r="I41" s="139"/>
      <c r="J41" s="135"/>
      <c r="K41" s="137"/>
      <c r="L41" s="137"/>
      <c r="M41" s="136"/>
      <c r="N41" s="137"/>
      <c r="O41" s="138"/>
    </row>
    <row r="42" spans="3:15" x14ac:dyDescent="0.35">
      <c r="C42" s="139"/>
      <c r="D42" s="139"/>
      <c r="F42" s="144"/>
      <c r="G42" s="145"/>
      <c r="I42" s="139"/>
      <c r="J42" s="135"/>
      <c r="K42" s="237"/>
      <c r="L42" s="238"/>
      <c r="M42" s="237"/>
      <c r="N42" s="239"/>
      <c r="O42" s="238"/>
    </row>
    <row r="43" spans="3:15" x14ac:dyDescent="0.35">
      <c r="C43" s="139"/>
      <c r="D43" s="139"/>
      <c r="F43" s="144"/>
      <c r="G43" s="145"/>
      <c r="I43" s="139"/>
      <c r="J43" s="133"/>
      <c r="K43" s="237"/>
      <c r="L43" s="238"/>
      <c r="M43" s="237"/>
      <c r="N43" s="239"/>
      <c r="O43" s="238"/>
    </row>
    <row r="44" spans="3:15" x14ac:dyDescent="0.35">
      <c r="C44" s="139"/>
      <c r="D44" s="139"/>
      <c r="F44" s="144"/>
      <c r="G44" s="145"/>
      <c r="I44" s="139"/>
      <c r="J44" s="133"/>
      <c r="K44" s="237"/>
      <c r="L44" s="238"/>
      <c r="M44" s="237"/>
      <c r="N44" s="239"/>
      <c r="O44" s="238"/>
    </row>
    <row r="45" spans="3:15" x14ac:dyDescent="0.35">
      <c r="C45" s="139"/>
      <c r="D45" s="139"/>
      <c r="F45" s="144"/>
      <c r="G45" s="145"/>
      <c r="I45" s="139"/>
      <c r="J45" s="133"/>
      <c r="K45" s="237"/>
      <c r="L45" s="238"/>
      <c r="M45" s="237"/>
      <c r="N45" s="239"/>
      <c r="O45" s="238"/>
    </row>
    <row r="46" spans="3:15" x14ac:dyDescent="0.35">
      <c r="C46" s="139"/>
      <c r="D46" s="139"/>
      <c r="F46" s="144"/>
      <c r="G46" s="145"/>
      <c r="I46" s="139"/>
      <c r="J46" s="133"/>
      <c r="K46" s="237"/>
      <c r="L46" s="238"/>
      <c r="M46" s="237"/>
      <c r="N46" s="239"/>
      <c r="O46" s="238"/>
    </row>
    <row r="47" spans="3:15" x14ac:dyDescent="0.35">
      <c r="H47" s="240" t="s">
        <v>41</v>
      </c>
      <c r="I47" s="240"/>
      <c r="J47" s="240"/>
      <c r="K47" s="241"/>
      <c r="L47" s="110"/>
      <c r="M47" s="146"/>
    </row>
    <row r="48" spans="3:15" x14ac:dyDescent="0.35">
      <c r="H48" s="147" t="s">
        <v>42</v>
      </c>
      <c r="I48" s="147" t="s">
        <v>43</v>
      </c>
      <c r="J48" s="147" t="s">
        <v>44</v>
      </c>
      <c r="K48" s="241"/>
      <c r="L48" s="146"/>
    </row>
    <row r="49" spans="3:14" x14ac:dyDescent="0.35">
      <c r="F49" s="148"/>
      <c r="H49" s="104" t="s">
        <v>14</v>
      </c>
      <c r="I49" s="104" t="s">
        <v>15</v>
      </c>
      <c r="J49" s="148">
        <f>M5-O5-N5-L5+I5</f>
        <v>430197</v>
      </c>
      <c r="K49" s="149">
        <v>430197</v>
      </c>
      <c r="L49" s="150">
        <f>J49-K49</f>
        <v>0</v>
      </c>
      <c r="M49" s="148"/>
    </row>
    <row r="50" spans="3:14" x14ac:dyDescent="0.35">
      <c r="C50" s="242">
        <v>45931</v>
      </c>
      <c r="D50" s="242"/>
      <c r="E50" s="242"/>
      <c r="H50" s="104" t="s">
        <v>14</v>
      </c>
      <c r="I50" s="104" t="s">
        <v>17</v>
      </c>
      <c r="J50" s="148">
        <f t="shared" ref="J50:J54" si="11">M6-O6-N6-L6+I6</f>
        <v>3257195</v>
      </c>
      <c r="K50" s="149">
        <v>3257194</v>
      </c>
      <c r="L50" s="150">
        <f t="shared" ref="L50:L61" si="12">J50-K50</f>
        <v>1</v>
      </c>
      <c r="M50" s="148"/>
    </row>
    <row r="51" spans="3:14" x14ac:dyDescent="0.35">
      <c r="C51" s="243" t="s">
        <v>63</v>
      </c>
      <c r="D51" s="243"/>
      <c r="E51" s="243"/>
      <c r="H51" s="104" t="s">
        <v>14</v>
      </c>
      <c r="I51" s="104" t="s">
        <v>18</v>
      </c>
      <c r="J51" s="148">
        <f t="shared" si="11"/>
        <v>1914694</v>
      </c>
      <c r="K51" s="149">
        <v>1914695</v>
      </c>
      <c r="L51" s="150">
        <f t="shared" si="12"/>
        <v>-1</v>
      </c>
      <c r="M51" s="148"/>
    </row>
    <row r="52" spans="3:14" x14ac:dyDescent="0.35">
      <c r="C52" s="139" t="s">
        <v>64</v>
      </c>
      <c r="D52" s="225">
        <f>'Opening Balance FEB 2026'!J4</f>
        <v>1308640</v>
      </c>
      <c r="E52" s="226"/>
      <c r="H52" s="104" t="s">
        <v>14</v>
      </c>
      <c r="I52" s="104" t="s">
        <v>19</v>
      </c>
      <c r="J52" s="148">
        <f t="shared" si="11"/>
        <v>1362317</v>
      </c>
      <c r="K52" s="149">
        <v>1362349</v>
      </c>
      <c r="L52" s="150">
        <f t="shared" si="12"/>
        <v>-32</v>
      </c>
      <c r="M52" s="148"/>
    </row>
    <row r="53" spans="3:14" x14ac:dyDescent="0.35">
      <c r="C53" s="139" t="s">
        <v>65</v>
      </c>
      <c r="D53" s="225">
        <f>G37</f>
        <v>1621270</v>
      </c>
      <c r="E53" s="226"/>
      <c r="H53" s="104" t="s">
        <v>14</v>
      </c>
      <c r="I53" s="104" t="s">
        <v>20</v>
      </c>
      <c r="J53" s="148">
        <f t="shared" si="11"/>
        <v>1385567</v>
      </c>
      <c r="K53" s="149">
        <v>1385567</v>
      </c>
      <c r="L53" s="150">
        <f t="shared" si="12"/>
        <v>0</v>
      </c>
      <c r="M53" s="148"/>
    </row>
    <row r="54" spans="3:14" x14ac:dyDescent="0.35">
      <c r="C54" s="151" t="s">
        <v>45</v>
      </c>
      <c r="D54" s="244">
        <f>D52+D53</f>
        <v>2929910</v>
      </c>
      <c r="E54" s="245"/>
      <c r="H54" s="104" t="s">
        <v>14</v>
      </c>
      <c r="I54" s="104" t="s">
        <v>21</v>
      </c>
      <c r="J54" s="148">
        <f t="shared" si="11"/>
        <v>746849</v>
      </c>
      <c r="K54" s="149">
        <v>746850</v>
      </c>
      <c r="L54" s="150">
        <f t="shared" si="12"/>
        <v>-1</v>
      </c>
    </row>
    <row r="55" spans="3:14" x14ac:dyDescent="0.35">
      <c r="C55" s="139" t="s">
        <v>66</v>
      </c>
      <c r="D55" s="235">
        <v>0</v>
      </c>
      <c r="E55" s="236"/>
      <c r="H55" s="152" t="s">
        <v>45</v>
      </c>
      <c r="I55" s="152"/>
      <c r="J55" s="153">
        <f>SUM(J49:J54)</f>
        <v>9096819</v>
      </c>
      <c r="K55" s="154">
        <v>9096819</v>
      </c>
      <c r="L55" s="150">
        <f t="shared" si="12"/>
        <v>0</v>
      </c>
    </row>
    <row r="56" spans="3:14" x14ac:dyDescent="0.35">
      <c r="C56" s="139" t="s">
        <v>78</v>
      </c>
      <c r="D56" s="235">
        <v>0</v>
      </c>
      <c r="E56" s="236"/>
      <c r="H56" s="152"/>
      <c r="I56" s="152"/>
      <c r="J56" s="153"/>
      <c r="K56" s="155"/>
      <c r="L56" s="150"/>
    </row>
    <row r="57" spans="3:14" x14ac:dyDescent="0.35">
      <c r="C57" s="139" t="s">
        <v>75</v>
      </c>
      <c r="D57" s="235">
        <v>10000</v>
      </c>
      <c r="E57" s="236"/>
      <c r="H57" s="147" t="s">
        <v>42</v>
      </c>
      <c r="I57" s="147" t="s">
        <v>43</v>
      </c>
      <c r="J57" s="147" t="s">
        <v>44</v>
      </c>
      <c r="K57" s="146"/>
      <c r="L57" s="150"/>
    </row>
    <row r="58" spans="3:14" x14ac:dyDescent="0.35">
      <c r="C58" s="156" t="s">
        <v>83</v>
      </c>
      <c r="D58" s="227">
        <f>SUM(D55:E57)</f>
        <v>10000</v>
      </c>
      <c r="E58" s="228"/>
      <c r="H58" s="104" t="s">
        <v>46</v>
      </c>
      <c r="I58" s="104" t="s">
        <v>48</v>
      </c>
      <c r="J58" s="148">
        <f>M12-O12-N12-L12+I12</f>
        <v>430808</v>
      </c>
      <c r="K58" s="149">
        <v>430808</v>
      </c>
      <c r="L58" s="150">
        <f t="shared" si="12"/>
        <v>0</v>
      </c>
    </row>
    <row r="59" spans="3:14" x14ac:dyDescent="0.35">
      <c r="C59" s="157" t="s">
        <v>67</v>
      </c>
      <c r="D59" s="229">
        <f>D54-D55-D57-D56</f>
        <v>2919910</v>
      </c>
      <c r="E59" s="230"/>
      <c r="H59" s="104" t="s">
        <v>46</v>
      </c>
      <c r="I59" s="104" t="s">
        <v>47</v>
      </c>
      <c r="J59" s="148">
        <f>M13-O13-N13-L13+I13</f>
        <v>2247863</v>
      </c>
      <c r="K59" s="149">
        <v>2247863</v>
      </c>
      <c r="L59" s="150">
        <f t="shared" si="12"/>
        <v>0</v>
      </c>
      <c r="N59" s="148"/>
    </row>
    <row r="60" spans="3:14" x14ac:dyDescent="0.35">
      <c r="C60" s="158" t="s">
        <v>68</v>
      </c>
      <c r="D60" s="231"/>
      <c r="E60" s="232"/>
      <c r="H60" s="104" t="s">
        <v>46</v>
      </c>
      <c r="I60" s="104" t="s">
        <v>15</v>
      </c>
      <c r="J60" s="148">
        <f>M14-O14-N14-L14+I14</f>
        <v>379215</v>
      </c>
      <c r="K60" s="149">
        <v>375219</v>
      </c>
      <c r="L60" s="150">
        <f t="shared" si="12"/>
        <v>3996</v>
      </c>
      <c r="M60" s="148"/>
      <c r="N60" s="148"/>
    </row>
    <row r="61" spans="3:14" x14ac:dyDescent="0.35">
      <c r="C61" s="139" t="s">
        <v>14</v>
      </c>
      <c r="D61" s="225">
        <v>0</v>
      </c>
      <c r="E61" s="226"/>
      <c r="H61" s="104" t="s">
        <v>46</v>
      </c>
      <c r="I61" s="104" t="s">
        <v>20</v>
      </c>
      <c r="J61" s="148">
        <f>M15-O15</f>
        <v>0</v>
      </c>
      <c r="K61" s="149">
        <v>8160</v>
      </c>
      <c r="L61" s="150">
        <f t="shared" si="12"/>
        <v>-8160</v>
      </c>
    </row>
    <row r="62" spans="3:14" x14ac:dyDescent="0.35">
      <c r="C62" s="139" t="s">
        <v>72</v>
      </c>
      <c r="D62" s="225">
        <v>0</v>
      </c>
      <c r="E62" s="226"/>
      <c r="H62" s="104" t="s">
        <v>27</v>
      </c>
      <c r="I62" s="104" t="s">
        <v>47</v>
      </c>
      <c r="J62" s="148">
        <f>M18-O18-N18-L18+I18</f>
        <v>51257</v>
      </c>
      <c r="K62" s="149">
        <v>51257</v>
      </c>
      <c r="L62" s="150">
        <f>J62-K62</f>
        <v>0</v>
      </c>
    </row>
    <row r="63" spans="3:14" x14ac:dyDescent="0.35">
      <c r="C63" s="139" t="s">
        <v>69</v>
      </c>
      <c r="D63" s="225">
        <v>0</v>
      </c>
      <c r="E63" s="226"/>
      <c r="H63" s="152" t="s">
        <v>45</v>
      </c>
      <c r="I63" s="152"/>
      <c r="J63" s="153">
        <f>SUM(J58:J62)</f>
        <v>3109143</v>
      </c>
      <c r="K63" s="149">
        <f>SUM(K58:K62)</f>
        <v>3113307</v>
      </c>
      <c r="L63" s="150">
        <f>J63-K63</f>
        <v>-4164</v>
      </c>
    </row>
    <row r="64" spans="3:14" x14ac:dyDescent="0.35">
      <c r="C64" s="139" t="s">
        <v>70</v>
      </c>
      <c r="D64" s="225">
        <v>0</v>
      </c>
      <c r="E64" s="226"/>
      <c r="F64" s="148"/>
      <c r="H64" s="147" t="s">
        <v>42</v>
      </c>
      <c r="I64" s="147" t="s">
        <v>43</v>
      </c>
      <c r="J64" s="147" t="s">
        <v>44</v>
      </c>
    </row>
    <row r="65" spans="3:14" x14ac:dyDescent="0.35">
      <c r="C65" s="139" t="s">
        <v>71</v>
      </c>
      <c r="D65" s="225">
        <v>0</v>
      </c>
      <c r="E65" s="226"/>
      <c r="F65" s="159"/>
      <c r="G65" s="160"/>
      <c r="H65" s="104" t="s">
        <v>49</v>
      </c>
      <c r="I65" s="104" t="s">
        <v>51</v>
      </c>
      <c r="J65" s="148">
        <f>M26-O26-N26-L26+I26</f>
        <v>1584437</v>
      </c>
      <c r="K65" s="149">
        <v>1671613</v>
      </c>
      <c r="L65" s="150">
        <f t="shared" ref="L65:L71" si="13">J65-K65</f>
        <v>-87176</v>
      </c>
      <c r="N65" s="148"/>
    </row>
    <row r="66" spans="3:14" x14ac:dyDescent="0.35">
      <c r="C66" s="157" t="s">
        <v>73</v>
      </c>
      <c r="D66" s="229">
        <f>SUM(D61:D65)</f>
        <v>0</v>
      </c>
      <c r="E66" s="230"/>
      <c r="F66" s="148"/>
      <c r="H66" s="104" t="s">
        <v>49</v>
      </c>
      <c r="I66" s="104" t="s">
        <v>18</v>
      </c>
      <c r="J66" s="148">
        <f>M27-O27-N27-L27+I27</f>
        <v>174473</v>
      </c>
      <c r="K66" s="149">
        <v>174473</v>
      </c>
      <c r="L66" s="150">
        <f t="shared" si="13"/>
        <v>0</v>
      </c>
    </row>
    <row r="67" spans="3:14" x14ac:dyDescent="0.35">
      <c r="C67" s="161" t="s">
        <v>74</v>
      </c>
      <c r="D67" s="233">
        <f>D59-D66</f>
        <v>2919910</v>
      </c>
      <c r="E67" s="234"/>
      <c r="F67" s="148"/>
      <c r="H67" s="104" t="s">
        <v>49</v>
      </c>
      <c r="I67" s="104" t="s">
        <v>15</v>
      </c>
      <c r="J67" s="148">
        <f>M28-O28-N28-L28+I28</f>
        <v>35126</v>
      </c>
      <c r="K67" s="149">
        <v>35126</v>
      </c>
      <c r="L67" s="150">
        <f t="shared" si="13"/>
        <v>0</v>
      </c>
    </row>
    <row r="68" spans="3:14" x14ac:dyDescent="0.35">
      <c r="C68" s="139"/>
      <c r="D68" s="225">
        <v>3102990</v>
      </c>
      <c r="E68" s="226"/>
      <c r="H68" s="104" t="s">
        <v>49</v>
      </c>
      <c r="I68" s="104" t="s">
        <v>50</v>
      </c>
      <c r="J68" s="148">
        <f>M29-O29-N29-L29+I29</f>
        <v>1512804</v>
      </c>
      <c r="K68" s="162">
        <v>1382171</v>
      </c>
      <c r="L68" s="150">
        <f t="shared" si="13"/>
        <v>130633</v>
      </c>
    </row>
    <row r="69" spans="3:14" x14ac:dyDescent="0.35">
      <c r="C69" s="139"/>
      <c r="D69" s="225">
        <f>D67-D68</f>
        <v>-183080</v>
      </c>
      <c r="E69" s="226"/>
      <c r="H69" s="104" t="s">
        <v>49</v>
      </c>
      <c r="I69" s="104" t="s">
        <v>20</v>
      </c>
      <c r="J69" s="148">
        <f>'Opening Balance FEB 2026'!F24</f>
        <v>66046</v>
      </c>
      <c r="K69" s="149">
        <v>66046</v>
      </c>
      <c r="L69" s="150">
        <f t="shared" si="13"/>
        <v>0</v>
      </c>
    </row>
    <row r="70" spans="3:14" x14ac:dyDescent="0.35">
      <c r="H70" s="104" t="s">
        <v>49</v>
      </c>
      <c r="I70" s="104" t="s">
        <v>47</v>
      </c>
      <c r="J70" s="148">
        <f>'Opening Balance FEB 2026'!F25</f>
        <v>23570</v>
      </c>
      <c r="K70" s="149">
        <v>23570</v>
      </c>
      <c r="L70" s="150">
        <f t="shared" si="13"/>
        <v>0</v>
      </c>
    </row>
    <row r="71" spans="3:14" x14ac:dyDescent="0.35">
      <c r="H71" s="152" t="s">
        <v>45</v>
      </c>
      <c r="I71" s="152"/>
      <c r="J71" s="153">
        <f>SUM(J65:J70)</f>
        <v>3396456</v>
      </c>
      <c r="K71" s="149">
        <v>3391456</v>
      </c>
      <c r="L71" s="150">
        <f t="shared" si="13"/>
        <v>5000</v>
      </c>
      <c r="N71" s="148"/>
    </row>
    <row r="72" spans="3:14" x14ac:dyDescent="0.35">
      <c r="H72" s="147" t="s">
        <v>42</v>
      </c>
      <c r="I72" s="147" t="s">
        <v>43</v>
      </c>
      <c r="J72" s="147" t="s">
        <v>44</v>
      </c>
    </row>
    <row r="73" spans="3:14" x14ac:dyDescent="0.35">
      <c r="H73" s="104" t="s">
        <v>52</v>
      </c>
      <c r="I73" s="104" t="s">
        <v>53</v>
      </c>
      <c r="J73" s="148">
        <f>M20-O20-N20-L20+I20-G72</f>
        <v>33969</v>
      </c>
      <c r="K73" s="148">
        <v>33969</v>
      </c>
      <c r="L73" s="150">
        <f>J73-K73</f>
        <v>0</v>
      </c>
    </row>
    <row r="74" spans="3:14" x14ac:dyDescent="0.35">
      <c r="H74" s="104" t="s">
        <v>52</v>
      </c>
      <c r="I74" s="104" t="s">
        <v>47</v>
      </c>
      <c r="J74" s="148">
        <f>M21-O21-N21-L21+I21</f>
        <v>151366</v>
      </c>
      <c r="K74" s="162">
        <v>151366</v>
      </c>
      <c r="L74" s="150">
        <f>J74-K74</f>
        <v>0</v>
      </c>
    </row>
    <row r="75" spans="3:14" x14ac:dyDescent="0.35">
      <c r="H75" s="152" t="s">
        <v>45</v>
      </c>
      <c r="I75" s="152"/>
      <c r="J75" s="153">
        <f>SUM(J73:J74)</f>
        <v>185335</v>
      </c>
      <c r="K75" s="148">
        <v>160846</v>
      </c>
      <c r="L75" s="150">
        <f>J75-K75</f>
        <v>24489</v>
      </c>
    </row>
    <row r="76" spans="3:14" x14ac:dyDescent="0.35">
      <c r="G76" s="104">
        <v>0</v>
      </c>
      <c r="H76" s="147" t="s">
        <v>42</v>
      </c>
      <c r="I76" s="147" t="s">
        <v>43</v>
      </c>
      <c r="J76" s="147" t="s">
        <v>44</v>
      </c>
      <c r="K76" s="149">
        <v>0</v>
      </c>
      <c r="L76" s="150"/>
    </row>
    <row r="77" spans="3:14" x14ac:dyDescent="0.35">
      <c r="H77" s="104" t="s">
        <v>54</v>
      </c>
      <c r="I77" s="104" t="s">
        <v>53</v>
      </c>
      <c r="J77" s="148">
        <f>M23-O23-N23-L23+I23-G76</f>
        <v>89658</v>
      </c>
      <c r="K77" s="149">
        <v>89658</v>
      </c>
      <c r="L77" s="150">
        <f>J77-K77</f>
        <v>0</v>
      </c>
    </row>
    <row r="78" spans="3:14" x14ac:dyDescent="0.35">
      <c r="H78" s="104" t="s">
        <v>54</v>
      </c>
      <c r="I78" s="104" t="s">
        <v>18</v>
      </c>
      <c r="J78" s="148">
        <f>M24-O24-N24-L24+I24</f>
        <v>17000</v>
      </c>
      <c r="K78" s="149">
        <v>67000</v>
      </c>
      <c r="L78" s="150">
        <f>J78-K78</f>
        <v>-50000</v>
      </c>
    </row>
    <row r="79" spans="3:14" x14ac:dyDescent="0.35">
      <c r="H79" s="152" t="s">
        <v>45</v>
      </c>
      <c r="I79" s="152"/>
      <c r="J79" s="153">
        <f>SUM(J77:J78)</f>
        <v>106658</v>
      </c>
      <c r="K79" s="148">
        <f>SUM(K76:K78)</f>
        <v>156658</v>
      </c>
      <c r="L79" s="150">
        <f>J79-K79</f>
        <v>-50000</v>
      </c>
    </row>
    <row r="80" spans="3:14" x14ac:dyDescent="0.35">
      <c r="H80" s="147" t="s">
        <v>42</v>
      </c>
      <c r="I80" s="147" t="s">
        <v>43</v>
      </c>
      <c r="J80" s="147" t="s">
        <v>44</v>
      </c>
      <c r="K80" s="149">
        <v>0</v>
      </c>
      <c r="L80" s="150"/>
    </row>
    <row r="81" spans="4:12" x14ac:dyDescent="0.35">
      <c r="H81" s="104" t="s">
        <v>55</v>
      </c>
      <c r="I81" s="104" t="s">
        <v>56</v>
      </c>
      <c r="J81" s="148">
        <f>'Opening Balance FEB 2026'!F36</f>
        <v>103541</v>
      </c>
      <c r="K81" s="149">
        <v>103541</v>
      </c>
      <c r="L81" s="150">
        <f>J81-K81</f>
        <v>0</v>
      </c>
    </row>
    <row r="82" spans="4:12" x14ac:dyDescent="0.35">
      <c r="H82" s="104" t="s">
        <v>55</v>
      </c>
      <c r="I82" s="104" t="s">
        <v>47</v>
      </c>
      <c r="J82" s="148">
        <f>'Opening Balance FEB 2026'!F37</f>
        <v>6013</v>
      </c>
      <c r="K82" s="149">
        <v>6013</v>
      </c>
      <c r="L82" s="150">
        <f>J82-K82</f>
        <v>0</v>
      </c>
    </row>
    <row r="83" spans="4:12" x14ac:dyDescent="0.35">
      <c r="H83" s="152" t="s">
        <v>45</v>
      </c>
      <c r="I83" s="152"/>
      <c r="J83" s="153">
        <v>109554</v>
      </c>
      <c r="K83" s="148">
        <f>SUM(K80:K82)</f>
        <v>109554</v>
      </c>
      <c r="L83" s="150">
        <f>J83-K83</f>
        <v>0</v>
      </c>
    </row>
    <row r="84" spans="4:12" x14ac:dyDescent="0.35">
      <c r="H84" s="147" t="s">
        <v>42</v>
      </c>
      <c r="I84" s="147" t="s">
        <v>43</v>
      </c>
      <c r="J84" s="147" t="s">
        <v>44</v>
      </c>
      <c r="K84" s="149">
        <v>0</v>
      </c>
      <c r="L84" s="150"/>
    </row>
    <row r="85" spans="4:12" x14ac:dyDescent="0.35">
      <c r="H85" s="104" t="s">
        <v>57</v>
      </c>
      <c r="I85" s="104" t="s">
        <v>47</v>
      </c>
      <c r="J85" s="148">
        <f>'Opening Balance FEB 2026'!F40</f>
        <v>16440</v>
      </c>
      <c r="K85" s="149">
        <v>16440</v>
      </c>
      <c r="L85" s="150">
        <f>J85-K85</f>
        <v>0</v>
      </c>
    </row>
    <row r="86" spans="4:12" x14ac:dyDescent="0.35">
      <c r="H86" s="152" t="s">
        <v>45</v>
      </c>
      <c r="I86" s="152"/>
      <c r="J86" s="153">
        <v>16440</v>
      </c>
      <c r="K86" s="149">
        <f>SUM(K84:K85)</f>
        <v>16440</v>
      </c>
    </row>
    <row r="87" spans="4:12" x14ac:dyDescent="0.35">
      <c r="J87" s="148"/>
    </row>
    <row r="88" spans="4:12" x14ac:dyDescent="0.35">
      <c r="H88" s="163" t="s">
        <v>58</v>
      </c>
      <c r="I88" s="163"/>
      <c r="J88" s="164">
        <f>J86+J83+J79+J75+J71+J63+J55</f>
        <v>16020405</v>
      </c>
    </row>
    <row r="90" spans="4:12" x14ac:dyDescent="0.35">
      <c r="D90" s="165" t="s">
        <v>82</v>
      </c>
      <c r="E90" s="165"/>
      <c r="F90" s="165"/>
      <c r="G90" s="165"/>
      <c r="H90" s="165"/>
    </row>
    <row r="91" spans="4:12" x14ac:dyDescent="0.35">
      <c r="D91" s="158" t="s">
        <v>42</v>
      </c>
      <c r="E91" s="158" t="s">
        <v>43</v>
      </c>
      <c r="F91" s="158" t="s">
        <v>79</v>
      </c>
      <c r="G91" s="158" t="s">
        <v>80</v>
      </c>
      <c r="H91" s="158" t="s">
        <v>81</v>
      </c>
    </row>
    <row r="92" spans="4:12" x14ac:dyDescent="0.35">
      <c r="D92" s="139" t="s">
        <v>14</v>
      </c>
      <c r="E92" s="139" t="s">
        <v>15</v>
      </c>
      <c r="F92" s="166">
        <f>H5</f>
        <v>0</v>
      </c>
      <c r="G92" s="166">
        <f>O5</f>
        <v>0</v>
      </c>
      <c r="H92" s="166">
        <f>I5</f>
        <v>0</v>
      </c>
    </row>
    <row r="93" spans="4:12" x14ac:dyDescent="0.35">
      <c r="D93" s="139" t="s">
        <v>14</v>
      </c>
      <c r="E93" s="139" t="s">
        <v>17</v>
      </c>
      <c r="F93" s="166">
        <f>H6</f>
        <v>36943</v>
      </c>
      <c r="G93" s="166">
        <f>O6</f>
        <v>674708</v>
      </c>
      <c r="H93" s="166">
        <f>I6</f>
        <v>36943</v>
      </c>
    </row>
    <row r="94" spans="4:12" x14ac:dyDescent="0.35">
      <c r="D94" s="139" t="s">
        <v>14</v>
      </c>
      <c r="E94" s="139" t="s">
        <v>18</v>
      </c>
      <c r="F94" s="166">
        <f>H7</f>
        <v>48985</v>
      </c>
      <c r="G94" s="166">
        <f>O7</f>
        <v>147810</v>
      </c>
      <c r="H94" s="166">
        <f>I7</f>
        <v>0</v>
      </c>
    </row>
    <row r="95" spans="4:12" x14ac:dyDescent="0.35">
      <c r="D95" s="139" t="s">
        <v>14</v>
      </c>
      <c r="E95" s="139" t="s">
        <v>19</v>
      </c>
      <c r="F95" s="166">
        <f>H8</f>
        <v>71387</v>
      </c>
      <c r="G95" s="166">
        <f>O8</f>
        <v>109491</v>
      </c>
      <c r="H95" s="166">
        <f>I8</f>
        <v>60339</v>
      </c>
    </row>
    <row r="96" spans="4:12" x14ac:dyDescent="0.35">
      <c r="D96" s="139" t="s">
        <v>14</v>
      </c>
      <c r="E96" s="139" t="s">
        <v>20</v>
      </c>
      <c r="F96" s="166">
        <f>H9</f>
        <v>51492</v>
      </c>
      <c r="G96" s="166">
        <f>O9</f>
        <v>134637</v>
      </c>
      <c r="H96" s="166">
        <f>I9</f>
        <v>17466</v>
      </c>
    </row>
    <row r="97" spans="4:8" x14ac:dyDescent="0.35">
      <c r="D97" s="139" t="s">
        <v>14</v>
      </c>
      <c r="E97" s="139" t="s">
        <v>21</v>
      </c>
      <c r="F97" s="166" t="e">
        <f>#REF!+#REF!</f>
        <v>#REF!</v>
      </c>
      <c r="G97" s="166" t="e">
        <f>#REF!</f>
        <v>#REF!</v>
      </c>
      <c r="H97" s="166" t="e">
        <f>#REF!</f>
        <v>#REF!</v>
      </c>
    </row>
    <row r="98" spans="4:8" x14ac:dyDescent="0.35">
      <c r="D98" s="167" t="s">
        <v>45</v>
      </c>
      <c r="E98" s="167"/>
      <c r="F98" s="168" t="e">
        <f>SUM(F92:F97)</f>
        <v>#REF!</v>
      </c>
      <c r="G98" s="168" t="e">
        <f t="shared" ref="G98" si="14">SUM(G92:G97)</f>
        <v>#REF!</v>
      </c>
      <c r="H98" s="168" t="e">
        <f>SUM(H92:H97)</f>
        <v>#REF!</v>
      </c>
    </row>
    <row r="99" spans="4:8" x14ac:dyDescent="0.35">
      <c r="D99" s="158" t="s">
        <v>42</v>
      </c>
      <c r="E99" s="158" t="s">
        <v>43</v>
      </c>
      <c r="F99" s="169" t="s">
        <v>79</v>
      </c>
      <c r="G99" s="169" t="s">
        <v>80</v>
      </c>
      <c r="H99" s="169" t="s">
        <v>81</v>
      </c>
    </row>
    <row r="100" spans="4:8" x14ac:dyDescent="0.35">
      <c r="D100" s="139" t="s">
        <v>46</v>
      </c>
      <c r="E100" s="139" t="s">
        <v>48</v>
      </c>
      <c r="F100" s="166">
        <f>H12</f>
        <v>76381</v>
      </c>
      <c r="G100" s="166">
        <f>O12</f>
        <v>102317</v>
      </c>
      <c r="H100" s="166">
        <f>I12</f>
        <v>57884</v>
      </c>
    </row>
    <row r="101" spans="4:8" x14ac:dyDescent="0.35">
      <c r="D101" s="139" t="s">
        <v>46</v>
      </c>
      <c r="E101" s="139" t="s">
        <v>47</v>
      </c>
      <c r="F101" s="166">
        <f>H13</f>
        <v>48439</v>
      </c>
      <c r="G101" s="166">
        <f>O13</f>
        <v>110715</v>
      </c>
      <c r="H101" s="166">
        <f>I13</f>
        <v>18575</v>
      </c>
    </row>
    <row r="102" spans="4:8" x14ac:dyDescent="0.35">
      <c r="D102" s="139" t="s">
        <v>27</v>
      </c>
      <c r="E102" s="139" t="s">
        <v>47</v>
      </c>
      <c r="F102" s="166">
        <v>0</v>
      </c>
      <c r="G102" s="166">
        <v>0</v>
      </c>
      <c r="H102" s="166">
        <v>0</v>
      </c>
    </row>
    <row r="103" spans="4:8" x14ac:dyDescent="0.35">
      <c r="D103" s="167" t="s">
        <v>45</v>
      </c>
      <c r="E103" s="167"/>
      <c r="F103" s="168">
        <f>SUM(F100:F102)</f>
        <v>124820</v>
      </c>
      <c r="G103" s="168">
        <f>SUM(G100:G102)</f>
        <v>213032</v>
      </c>
      <c r="H103" s="168">
        <f>SUM(H100:H102)</f>
        <v>76459</v>
      </c>
    </row>
    <row r="104" spans="4:8" x14ac:dyDescent="0.35">
      <c r="D104" s="158" t="s">
        <v>42</v>
      </c>
      <c r="E104" s="158" t="s">
        <v>43</v>
      </c>
      <c r="F104" s="169" t="s">
        <v>79</v>
      </c>
      <c r="G104" s="169" t="s">
        <v>80</v>
      </c>
      <c r="H104" s="169" t="s">
        <v>81</v>
      </c>
    </row>
    <row r="105" spans="4:8" x14ac:dyDescent="0.35">
      <c r="D105" s="139" t="s">
        <v>49</v>
      </c>
      <c r="E105" s="139" t="s">
        <v>51</v>
      </c>
      <c r="F105" s="166" t="e">
        <f>#REF!</f>
        <v>#REF!</v>
      </c>
      <c r="G105" s="166" t="e">
        <f>#REF!</f>
        <v>#REF!</v>
      </c>
      <c r="H105" s="166" t="e">
        <f>#REF!</f>
        <v>#REF!</v>
      </c>
    </row>
    <row r="106" spans="4:8" x14ac:dyDescent="0.35">
      <c r="D106" s="139" t="s">
        <v>49</v>
      </c>
      <c r="E106" s="139" t="s">
        <v>18</v>
      </c>
      <c r="F106" s="166">
        <f>H27</f>
        <v>0</v>
      </c>
      <c r="G106" s="166">
        <f>O27</f>
        <v>0</v>
      </c>
      <c r="H106" s="166">
        <v>0</v>
      </c>
    </row>
    <row r="107" spans="4:8" x14ac:dyDescent="0.35">
      <c r="D107" s="139" t="s">
        <v>49</v>
      </c>
      <c r="E107" s="139" t="s">
        <v>50</v>
      </c>
      <c r="F107" s="166" t="e">
        <f>#REF!+#REF!</f>
        <v>#REF!</v>
      </c>
      <c r="G107" s="166" t="e">
        <f>#REF!</f>
        <v>#REF!</v>
      </c>
      <c r="H107" s="166" t="e">
        <f>#REF!+#REF!</f>
        <v>#REF!</v>
      </c>
    </row>
    <row r="108" spans="4:8" x14ac:dyDescent="0.35">
      <c r="D108" s="167" t="s">
        <v>45</v>
      </c>
      <c r="E108" s="167"/>
      <c r="F108" s="168" t="e">
        <f>SUM(F105:F107)</f>
        <v>#REF!</v>
      </c>
      <c r="G108" s="168" t="e">
        <f>SUM(G105:G107)</f>
        <v>#REF!</v>
      </c>
      <c r="H108" s="168" t="e">
        <f>SUM(H105:H107)</f>
        <v>#REF!</v>
      </c>
    </row>
    <row r="109" spans="4:8" x14ac:dyDescent="0.35">
      <c r="D109" s="158" t="s">
        <v>42</v>
      </c>
      <c r="E109" s="158" t="s">
        <v>43</v>
      </c>
      <c r="F109" s="169" t="s">
        <v>79</v>
      </c>
      <c r="G109" s="169" t="s">
        <v>80</v>
      </c>
      <c r="H109" s="169" t="s">
        <v>81</v>
      </c>
    </row>
    <row r="110" spans="4:8" x14ac:dyDescent="0.35">
      <c r="D110" s="139" t="s">
        <v>52</v>
      </c>
      <c r="E110" s="139" t="s">
        <v>53</v>
      </c>
      <c r="F110" s="166">
        <f>H20</f>
        <v>0</v>
      </c>
      <c r="G110" s="166">
        <f>O20</f>
        <v>0</v>
      </c>
      <c r="H110" s="166">
        <f>I20</f>
        <v>0</v>
      </c>
    </row>
    <row r="111" spans="4:8" x14ac:dyDescent="0.35">
      <c r="D111" s="167" t="s">
        <v>45</v>
      </c>
      <c r="E111" s="167"/>
      <c r="F111" s="168">
        <f>SUM(F110)</f>
        <v>0</v>
      </c>
      <c r="G111" s="168">
        <f t="shared" ref="G111" si="15">SUM(G110)</f>
        <v>0</v>
      </c>
      <c r="H111" s="168">
        <f>SUM(H110)</f>
        <v>0</v>
      </c>
    </row>
    <row r="112" spans="4:8" x14ac:dyDescent="0.35">
      <c r="D112" s="158" t="s">
        <v>42</v>
      </c>
      <c r="E112" s="158" t="s">
        <v>43</v>
      </c>
      <c r="F112" s="169" t="s">
        <v>79</v>
      </c>
      <c r="G112" s="169" t="s">
        <v>80</v>
      </c>
      <c r="H112" s="169" t="s">
        <v>81</v>
      </c>
    </row>
    <row r="113" spans="4:8" x14ac:dyDescent="0.35">
      <c r="D113" s="139" t="s">
        <v>54</v>
      </c>
      <c r="E113" s="139" t="s">
        <v>53</v>
      </c>
      <c r="F113" s="166">
        <f>H23</f>
        <v>0</v>
      </c>
      <c r="G113" s="166">
        <f>O23</f>
        <v>0</v>
      </c>
      <c r="H113" s="166">
        <f>I23</f>
        <v>0</v>
      </c>
    </row>
    <row r="114" spans="4:8" x14ac:dyDescent="0.35">
      <c r="D114" s="139" t="s">
        <v>54</v>
      </c>
      <c r="E114" s="139" t="s">
        <v>18</v>
      </c>
      <c r="F114" s="166">
        <f>H24</f>
        <v>0</v>
      </c>
      <c r="G114" s="166">
        <f>O24</f>
        <v>0</v>
      </c>
      <c r="H114" s="166">
        <f>I24</f>
        <v>0</v>
      </c>
    </row>
    <row r="115" spans="4:8" x14ac:dyDescent="0.35">
      <c r="D115" s="167" t="s">
        <v>45</v>
      </c>
      <c r="E115" s="167"/>
      <c r="F115" s="168">
        <f>SUM(F113:F114)</f>
        <v>0</v>
      </c>
      <c r="G115" s="168">
        <f t="shared" ref="G115" si="16">SUM(G113:G114)</f>
        <v>0</v>
      </c>
      <c r="H115" s="168">
        <f>SUM(H113:H114)</f>
        <v>0</v>
      </c>
    </row>
    <row r="116" spans="4:8" x14ac:dyDescent="0.35">
      <c r="D116" s="170"/>
      <c r="E116" s="170"/>
      <c r="F116" s="171" t="e">
        <f>F115+F111+F108+F103+F98</f>
        <v>#REF!</v>
      </c>
      <c r="G116" s="171" t="e">
        <f t="shared" ref="G116" si="17">G115+G111+G108+G103+G98</f>
        <v>#REF!</v>
      </c>
      <c r="H116" s="171" t="e">
        <f>H115+H111+H108+H103+H98</f>
        <v>#REF!</v>
      </c>
    </row>
  </sheetData>
  <mergeCells count="43">
    <mergeCell ref="D69:E69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57:E57"/>
    <mergeCell ref="K46:L46"/>
    <mergeCell ref="M46:O46"/>
    <mergeCell ref="H47:J47"/>
    <mergeCell ref="K47:K48"/>
    <mergeCell ref="C50:E50"/>
    <mergeCell ref="C51:E51"/>
    <mergeCell ref="D52:E52"/>
    <mergeCell ref="D53:E53"/>
    <mergeCell ref="D54:E54"/>
    <mergeCell ref="D55:E55"/>
    <mergeCell ref="D56:E56"/>
    <mergeCell ref="K43:L43"/>
    <mergeCell ref="M43:O43"/>
    <mergeCell ref="K44:L44"/>
    <mergeCell ref="M44:O44"/>
    <mergeCell ref="K45:L45"/>
    <mergeCell ref="M45:O45"/>
    <mergeCell ref="M42:O42"/>
    <mergeCell ref="C2:O2"/>
    <mergeCell ref="C3:O3"/>
    <mergeCell ref="H32:I32"/>
    <mergeCell ref="K33:L33"/>
    <mergeCell ref="M33:O33"/>
    <mergeCell ref="C34:D34"/>
    <mergeCell ref="K34:L34"/>
    <mergeCell ref="K35:L35"/>
    <mergeCell ref="K36:L36"/>
    <mergeCell ref="K37:L37"/>
    <mergeCell ref="K38:L38"/>
    <mergeCell ref="K42:L42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9"/>
  <sheetViews>
    <sheetView zoomScale="55" zoomScaleNormal="55" workbookViewId="0">
      <selection activeCell="L9" sqref="L9"/>
    </sheetView>
  </sheetViews>
  <sheetFormatPr defaultRowHeight="23.25" x14ac:dyDescent="0.35"/>
  <cols>
    <col min="1" max="1" width="5.5703125" style="104" customWidth="1"/>
    <col min="2" max="2" width="0.140625" style="104" hidden="1" customWidth="1"/>
    <col min="3" max="3" width="20.85546875" style="104" customWidth="1"/>
    <col min="4" max="4" width="26.42578125" style="104" customWidth="1"/>
    <col min="5" max="5" width="18.140625" style="104" customWidth="1"/>
    <col min="6" max="6" width="32.28515625" style="104" bestFit="1" customWidth="1"/>
    <col min="7" max="7" width="24" style="104" customWidth="1"/>
    <col min="8" max="8" width="22.85546875" style="104" customWidth="1"/>
    <col min="9" max="9" width="23.5703125" style="104" customWidth="1"/>
    <col min="10" max="10" width="26.5703125" style="104" bestFit="1" customWidth="1"/>
    <col min="11" max="11" width="23.7109375" style="104" customWidth="1"/>
    <col min="12" max="12" width="22.5703125" style="104" customWidth="1"/>
    <col min="13" max="13" width="26.42578125" style="104" customWidth="1"/>
    <col min="14" max="14" width="17.5703125" style="104" customWidth="1"/>
    <col min="15" max="15" width="22" style="104" customWidth="1"/>
    <col min="16" max="16" width="7.5703125" style="104" customWidth="1"/>
    <col min="17" max="17" width="14.28515625" style="104" bestFit="1" customWidth="1"/>
    <col min="18" max="18" width="11.42578125" style="104" customWidth="1"/>
    <col min="19" max="16384" width="9.140625" style="104"/>
  </cols>
  <sheetData>
    <row r="2" spans="1:16" x14ac:dyDescent="0.35">
      <c r="C2" s="246">
        <v>46105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8"/>
    </row>
    <row r="3" spans="1:16" x14ac:dyDescent="0.35">
      <c r="C3" s="249" t="s">
        <v>0</v>
      </c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6" ht="93" x14ac:dyDescent="0.35">
      <c r="A4" s="178"/>
      <c r="C4" s="106" t="s">
        <v>1</v>
      </c>
      <c r="D4" s="106" t="s">
        <v>2</v>
      </c>
      <c r="E4" s="106" t="s">
        <v>3</v>
      </c>
      <c r="F4" s="106" t="s">
        <v>4</v>
      </c>
      <c r="G4" s="106" t="s">
        <v>5</v>
      </c>
      <c r="H4" s="106" t="s">
        <v>6</v>
      </c>
      <c r="I4" s="106" t="s">
        <v>7</v>
      </c>
      <c r="J4" s="106" t="s">
        <v>8</v>
      </c>
      <c r="K4" s="107" t="s">
        <v>9</v>
      </c>
      <c r="L4" s="107" t="s">
        <v>10</v>
      </c>
      <c r="M4" s="108" t="s">
        <v>11</v>
      </c>
      <c r="N4" s="109" t="s">
        <v>12</v>
      </c>
      <c r="O4" s="106" t="s">
        <v>13</v>
      </c>
    </row>
    <row r="5" spans="1:16" x14ac:dyDescent="0.35">
      <c r="A5" s="110"/>
      <c r="C5" s="111" t="s">
        <v>14</v>
      </c>
      <c r="D5" s="112" t="s">
        <v>15</v>
      </c>
      <c r="E5" s="113" t="s">
        <v>100</v>
      </c>
      <c r="F5" s="114">
        <v>33409</v>
      </c>
      <c r="G5" s="114">
        <v>16103</v>
      </c>
      <c r="H5" s="115">
        <f>F5-G5</f>
        <v>17306</v>
      </c>
      <c r="I5" s="115">
        <f>H5-J5</f>
        <v>17306</v>
      </c>
      <c r="J5" s="116">
        <v>0</v>
      </c>
      <c r="K5" s="117">
        <v>0</v>
      </c>
      <c r="L5" s="116">
        <v>25000</v>
      </c>
      <c r="M5" s="114">
        <f>'20-03-2026'!J49</f>
        <v>430197</v>
      </c>
      <c r="N5" s="117">
        <v>0</v>
      </c>
      <c r="O5" s="118">
        <v>50233</v>
      </c>
      <c r="P5" s="119"/>
    </row>
    <row r="6" spans="1:16" x14ac:dyDescent="0.35">
      <c r="A6" s="110"/>
      <c r="C6" s="111" t="s">
        <v>14</v>
      </c>
      <c r="D6" s="112" t="s">
        <v>17</v>
      </c>
      <c r="E6" s="113" t="s">
        <v>98</v>
      </c>
      <c r="F6" s="114">
        <v>78970</v>
      </c>
      <c r="G6" s="114">
        <v>0</v>
      </c>
      <c r="H6" s="115">
        <f t="shared" ref="H6:H11" si="0">F6-G6</f>
        <v>78970</v>
      </c>
      <c r="I6" s="115">
        <f t="shared" ref="I6:I11" si="1">H6-J6</f>
        <v>78970</v>
      </c>
      <c r="J6" s="116">
        <v>0</v>
      </c>
      <c r="K6" s="117">
        <v>0</v>
      </c>
      <c r="L6" s="116">
        <v>0</v>
      </c>
      <c r="M6" s="114">
        <f>'20-03-2026'!J50</f>
        <v>3257195</v>
      </c>
      <c r="N6" s="117">
        <v>0</v>
      </c>
      <c r="O6" s="118">
        <v>78950</v>
      </c>
    </row>
    <row r="7" spans="1:16" x14ac:dyDescent="0.35">
      <c r="A7" s="110"/>
      <c r="C7" s="111" t="s">
        <v>14</v>
      </c>
      <c r="D7" s="112" t="s">
        <v>18</v>
      </c>
      <c r="E7" s="113" t="s">
        <v>100</v>
      </c>
      <c r="F7" s="114">
        <v>109877</v>
      </c>
      <c r="G7" s="114">
        <v>3444</v>
      </c>
      <c r="H7" s="115">
        <f t="shared" si="0"/>
        <v>106433</v>
      </c>
      <c r="I7" s="115">
        <f t="shared" si="1"/>
        <v>17540</v>
      </c>
      <c r="J7" s="116">
        <v>88893</v>
      </c>
      <c r="K7" s="117">
        <v>0</v>
      </c>
      <c r="L7" s="116">
        <v>30000</v>
      </c>
      <c r="M7" s="114">
        <f>'20-03-2026'!J51</f>
        <v>1914694</v>
      </c>
      <c r="N7" s="117">
        <v>0</v>
      </c>
      <c r="O7" s="118">
        <v>101393</v>
      </c>
    </row>
    <row r="8" spans="1:16" x14ac:dyDescent="0.35">
      <c r="A8" s="110"/>
      <c r="C8" s="111" t="s">
        <v>14</v>
      </c>
      <c r="D8" s="112" t="s">
        <v>19</v>
      </c>
      <c r="E8" s="113" t="s">
        <v>86</v>
      </c>
      <c r="F8" s="114">
        <v>63667</v>
      </c>
      <c r="G8" s="114">
        <v>1594</v>
      </c>
      <c r="H8" s="115">
        <f t="shared" si="0"/>
        <v>62073</v>
      </c>
      <c r="I8" s="115">
        <f t="shared" si="1"/>
        <v>43885</v>
      </c>
      <c r="J8" s="116">
        <v>18188</v>
      </c>
      <c r="K8" s="117">
        <v>0</v>
      </c>
      <c r="L8" s="116">
        <v>1</v>
      </c>
      <c r="M8" s="114">
        <f>'20-03-2026'!J52</f>
        <v>1362317</v>
      </c>
      <c r="N8" s="117">
        <v>0</v>
      </c>
      <c r="O8" s="118">
        <v>94649</v>
      </c>
    </row>
    <row r="9" spans="1:16" x14ac:dyDescent="0.35">
      <c r="A9" s="110"/>
      <c r="C9" s="111" t="s">
        <v>14</v>
      </c>
      <c r="D9" s="112" t="s">
        <v>20</v>
      </c>
      <c r="E9" s="113" t="s">
        <v>100</v>
      </c>
      <c r="F9" s="114">
        <v>80298</v>
      </c>
      <c r="G9" s="114">
        <v>1709</v>
      </c>
      <c r="H9" s="115">
        <f t="shared" si="0"/>
        <v>78589</v>
      </c>
      <c r="I9" s="115">
        <f t="shared" si="1"/>
        <v>30147</v>
      </c>
      <c r="J9" s="116">
        <v>48442</v>
      </c>
      <c r="K9" s="117">
        <v>0</v>
      </c>
      <c r="L9" s="116">
        <v>0</v>
      </c>
      <c r="M9" s="114">
        <f>'20-03-2026'!J53</f>
        <v>1385567</v>
      </c>
      <c r="N9" s="117">
        <v>0</v>
      </c>
      <c r="O9" s="118">
        <v>73921</v>
      </c>
    </row>
    <row r="10" spans="1:16" x14ac:dyDescent="0.35">
      <c r="A10" s="110"/>
      <c r="C10" s="111" t="s">
        <v>14</v>
      </c>
      <c r="D10" s="112" t="s">
        <v>21</v>
      </c>
      <c r="E10" s="113" t="s">
        <v>98</v>
      </c>
      <c r="F10" s="114">
        <v>57601</v>
      </c>
      <c r="G10" s="114">
        <v>2099</v>
      </c>
      <c r="H10" s="115">
        <f t="shared" si="0"/>
        <v>55502</v>
      </c>
      <c r="I10" s="115">
        <f t="shared" si="1"/>
        <v>35844</v>
      </c>
      <c r="J10" s="116">
        <v>19658</v>
      </c>
      <c r="K10" s="117">
        <v>0</v>
      </c>
      <c r="L10" s="116">
        <v>2000</v>
      </c>
      <c r="M10" s="114">
        <f>'20-03-2026'!J54</f>
        <v>746849</v>
      </c>
      <c r="N10" s="117">
        <v>0</v>
      </c>
      <c r="O10" s="118">
        <v>50310</v>
      </c>
    </row>
    <row r="11" spans="1:16" x14ac:dyDescent="0.35">
      <c r="A11" s="110"/>
      <c r="C11" s="111" t="s">
        <v>14</v>
      </c>
      <c r="D11" s="112" t="s">
        <v>21</v>
      </c>
      <c r="E11" s="113" t="s">
        <v>86</v>
      </c>
      <c r="F11" s="114">
        <v>9639</v>
      </c>
      <c r="G11" s="114">
        <v>0</v>
      </c>
      <c r="H11" s="115">
        <f t="shared" si="0"/>
        <v>9639</v>
      </c>
      <c r="I11" s="115">
        <f t="shared" si="1"/>
        <v>9639</v>
      </c>
      <c r="J11" s="116">
        <v>0</v>
      </c>
      <c r="K11" s="117">
        <v>0</v>
      </c>
      <c r="L11" s="116">
        <v>0</v>
      </c>
      <c r="M11" s="114">
        <v>0</v>
      </c>
      <c r="N11" s="117">
        <v>0</v>
      </c>
      <c r="O11" s="118">
        <v>0</v>
      </c>
    </row>
    <row r="12" spans="1:16" x14ac:dyDescent="0.35">
      <c r="A12" s="120"/>
      <c r="C12" s="106" t="s">
        <v>22</v>
      </c>
      <c r="D12" s="106"/>
      <c r="E12" s="106"/>
      <c r="F12" s="121">
        <f t="shared" ref="F12:L12" si="2">SUM(F5:F11)</f>
        <v>433461</v>
      </c>
      <c r="G12" s="121">
        <f t="shared" si="2"/>
        <v>24949</v>
      </c>
      <c r="H12" s="121">
        <f t="shared" si="2"/>
        <v>408512</v>
      </c>
      <c r="I12" s="121">
        <f t="shared" si="2"/>
        <v>233331</v>
      </c>
      <c r="J12" s="121">
        <f t="shared" si="2"/>
        <v>175181</v>
      </c>
      <c r="K12" s="121">
        <f t="shared" si="2"/>
        <v>0</v>
      </c>
      <c r="L12" s="121">
        <f t="shared" si="2"/>
        <v>57001</v>
      </c>
      <c r="M12" s="173">
        <f t="shared" ref="M12" si="3">SUM(M5:M10)</f>
        <v>9096819</v>
      </c>
      <c r="N12" s="121">
        <f>SUM(N5:N11)</f>
        <v>0</v>
      </c>
      <c r="O12" s="121">
        <f>SUM(O5:O11)</f>
        <v>449456</v>
      </c>
    </row>
    <row r="13" spans="1:16" x14ac:dyDescent="0.35">
      <c r="C13" s="111" t="s">
        <v>23</v>
      </c>
      <c r="D13" s="112" t="s">
        <v>24</v>
      </c>
      <c r="E13" s="113" t="s">
        <v>86</v>
      </c>
      <c r="F13" s="114">
        <v>95975</v>
      </c>
      <c r="G13" s="114">
        <v>0</v>
      </c>
      <c r="H13" s="115">
        <f t="shared" ref="H13:H32" si="4">F13-G13</f>
        <v>95975</v>
      </c>
      <c r="I13" s="115">
        <f t="shared" ref="I13:I32" si="5">H13-J13</f>
        <v>57098</v>
      </c>
      <c r="J13" s="116">
        <v>38877</v>
      </c>
      <c r="K13" s="117">
        <v>0</v>
      </c>
      <c r="L13" s="116">
        <v>0</v>
      </c>
      <c r="M13" s="114">
        <f>'20-03-2026'!J58</f>
        <v>430808</v>
      </c>
      <c r="N13" s="117">
        <v>0</v>
      </c>
      <c r="O13" s="116">
        <v>57290</v>
      </c>
    </row>
    <row r="14" spans="1:16" x14ac:dyDescent="0.35">
      <c r="C14" s="111" t="s">
        <v>23</v>
      </c>
      <c r="D14" s="112" t="s">
        <v>25</v>
      </c>
      <c r="E14" s="113" t="s">
        <v>47</v>
      </c>
      <c r="F14" s="114">
        <v>98750</v>
      </c>
      <c r="G14" s="114">
        <v>0</v>
      </c>
      <c r="H14" s="115">
        <f t="shared" si="4"/>
        <v>98750</v>
      </c>
      <c r="I14" s="115">
        <f t="shared" si="5"/>
        <v>98750</v>
      </c>
      <c r="J14" s="116">
        <v>0</v>
      </c>
      <c r="K14" s="117">
        <v>0</v>
      </c>
      <c r="L14" s="116">
        <v>0</v>
      </c>
      <c r="M14" s="114">
        <f>'20-03-2026'!J59</f>
        <v>2247863</v>
      </c>
      <c r="N14" s="117">
        <v>0</v>
      </c>
      <c r="O14" s="116">
        <v>454711</v>
      </c>
    </row>
    <row r="15" spans="1:16" x14ac:dyDescent="0.35">
      <c r="C15" s="111" t="s">
        <v>23</v>
      </c>
      <c r="D15" s="112" t="s">
        <v>25</v>
      </c>
      <c r="E15" s="113" t="s">
        <v>93</v>
      </c>
      <c r="F15" s="114">
        <v>4557</v>
      </c>
      <c r="G15" s="114">
        <v>0</v>
      </c>
      <c r="H15" s="115">
        <f t="shared" si="4"/>
        <v>4557</v>
      </c>
      <c r="I15" s="115">
        <f t="shared" si="5"/>
        <v>4557</v>
      </c>
      <c r="J15" s="116">
        <v>0</v>
      </c>
      <c r="K15" s="117">
        <v>0</v>
      </c>
      <c r="L15" s="116">
        <v>0</v>
      </c>
      <c r="M15" s="114">
        <v>0</v>
      </c>
      <c r="N15" s="117">
        <v>0</v>
      </c>
      <c r="O15" s="116">
        <v>0</v>
      </c>
    </row>
    <row r="16" spans="1:16" x14ac:dyDescent="0.35">
      <c r="C16" s="111" t="s">
        <v>23</v>
      </c>
      <c r="D16" s="112" t="s">
        <v>25</v>
      </c>
      <c r="E16" s="113" t="s">
        <v>100</v>
      </c>
      <c r="F16" s="114">
        <v>55328</v>
      </c>
      <c r="G16" s="114">
        <v>446</v>
      </c>
      <c r="H16" s="115">
        <f t="shared" si="4"/>
        <v>54882</v>
      </c>
      <c r="I16" s="115">
        <f t="shared" si="5"/>
        <v>0</v>
      </c>
      <c r="J16" s="116">
        <v>54882</v>
      </c>
      <c r="K16" s="117"/>
      <c r="L16" s="116"/>
      <c r="M16" s="114"/>
      <c r="N16" s="117"/>
      <c r="O16" s="116"/>
    </row>
    <row r="17" spans="3:15" x14ac:dyDescent="0.35">
      <c r="C17" s="111" t="s">
        <v>23</v>
      </c>
      <c r="D17" s="112" t="s">
        <v>26</v>
      </c>
      <c r="E17" s="113" t="s">
        <v>15</v>
      </c>
      <c r="F17" s="114">
        <v>0</v>
      </c>
      <c r="G17" s="114">
        <v>0</v>
      </c>
      <c r="H17" s="115">
        <f t="shared" si="4"/>
        <v>0</v>
      </c>
      <c r="I17" s="115">
        <f t="shared" si="5"/>
        <v>0</v>
      </c>
      <c r="J17" s="116">
        <v>0</v>
      </c>
      <c r="K17" s="117">
        <v>0</v>
      </c>
      <c r="L17" s="116">
        <v>0</v>
      </c>
      <c r="M17" s="114">
        <f>'20-03-2026'!J60</f>
        <v>379215</v>
      </c>
      <c r="N17" s="117">
        <v>0</v>
      </c>
      <c r="O17" s="116">
        <v>0</v>
      </c>
    </row>
    <row r="18" spans="3:15" x14ac:dyDescent="0.35">
      <c r="C18" s="111" t="s">
        <v>23</v>
      </c>
      <c r="D18" s="112" t="s">
        <v>20</v>
      </c>
      <c r="E18" s="113" t="s">
        <v>97</v>
      </c>
      <c r="F18" s="114">
        <v>0</v>
      </c>
      <c r="G18" s="114">
        <v>0</v>
      </c>
      <c r="H18" s="115">
        <f t="shared" si="4"/>
        <v>0</v>
      </c>
      <c r="I18" s="115">
        <f t="shared" si="5"/>
        <v>0</v>
      </c>
      <c r="J18" s="116">
        <v>0</v>
      </c>
      <c r="K18" s="117">
        <v>0</v>
      </c>
      <c r="L18" s="116">
        <v>0</v>
      </c>
      <c r="M18" s="114">
        <v>0</v>
      </c>
      <c r="N18" s="117">
        <v>0</v>
      </c>
      <c r="O18" s="116">
        <v>0</v>
      </c>
    </row>
    <row r="19" spans="3:15" x14ac:dyDescent="0.35">
      <c r="C19" s="111" t="s">
        <v>23</v>
      </c>
      <c r="D19" s="112" t="s">
        <v>18</v>
      </c>
      <c r="E19" s="113" t="s">
        <v>97</v>
      </c>
      <c r="F19" s="114">
        <v>0</v>
      </c>
      <c r="G19" s="114">
        <v>0</v>
      </c>
      <c r="H19" s="115">
        <f t="shared" si="4"/>
        <v>0</v>
      </c>
      <c r="I19" s="115">
        <f t="shared" si="5"/>
        <v>0</v>
      </c>
      <c r="J19" s="116">
        <v>0</v>
      </c>
      <c r="K19" s="117">
        <v>0</v>
      </c>
      <c r="L19" s="116">
        <v>0</v>
      </c>
      <c r="M19" s="114">
        <v>0</v>
      </c>
      <c r="N19" s="117">
        <v>0</v>
      </c>
      <c r="O19" s="116">
        <v>0</v>
      </c>
    </row>
    <row r="20" spans="3:15" x14ac:dyDescent="0.35">
      <c r="C20" s="111" t="s">
        <v>23</v>
      </c>
      <c r="D20" s="106"/>
      <c r="E20" s="106"/>
      <c r="F20" s="121">
        <f>SUM(F13:F19)</f>
        <v>254610</v>
      </c>
      <c r="G20" s="121">
        <f>SUM(G13:G19)</f>
        <v>446</v>
      </c>
      <c r="H20" s="121">
        <f>SUM(H13:H18)</f>
        <v>254164</v>
      </c>
      <c r="I20" s="121">
        <f>SUM(I13:I18)</f>
        <v>160405</v>
      </c>
      <c r="J20" s="121">
        <f>SUM(J13:J19)</f>
        <v>93759</v>
      </c>
      <c r="K20" s="121">
        <f>SUM(K13:K18)</f>
        <v>0</v>
      </c>
      <c r="L20" s="121">
        <f>SUM(L13:L18)</f>
        <v>0</v>
      </c>
      <c r="M20" s="121">
        <f>SUM(M13:M19)</f>
        <v>3057886</v>
      </c>
      <c r="N20" s="121">
        <f>SUM(N13:N18)</f>
        <v>0</v>
      </c>
      <c r="O20" s="121">
        <f>SUM(O13:O19)</f>
        <v>512001</v>
      </c>
    </row>
    <row r="21" spans="3:15" x14ac:dyDescent="0.35">
      <c r="C21" s="111" t="s">
        <v>27</v>
      </c>
      <c r="D21" s="112" t="s">
        <v>25</v>
      </c>
      <c r="E21" s="113" t="s">
        <v>16</v>
      </c>
      <c r="F21" s="114">
        <v>0</v>
      </c>
      <c r="G21" s="114">
        <v>0</v>
      </c>
      <c r="H21" s="115">
        <f t="shared" si="4"/>
        <v>0</v>
      </c>
      <c r="I21" s="115">
        <f t="shared" si="5"/>
        <v>0</v>
      </c>
      <c r="J21" s="116">
        <v>0</v>
      </c>
      <c r="K21" s="117">
        <v>0</v>
      </c>
      <c r="L21" s="116">
        <v>0</v>
      </c>
      <c r="M21" s="114">
        <f>'20-03-2026'!J62</f>
        <v>51257</v>
      </c>
      <c r="N21" s="117">
        <v>0</v>
      </c>
      <c r="O21" s="116">
        <v>0</v>
      </c>
    </row>
    <row r="22" spans="3:15" x14ac:dyDescent="0.35">
      <c r="C22" s="106"/>
      <c r="D22" s="106"/>
      <c r="E22" s="106"/>
      <c r="F22" s="121">
        <f>SUM(F21)</f>
        <v>0</v>
      </c>
      <c r="G22" s="121">
        <f t="shared" ref="G22:O22" si="6">SUM(G21)</f>
        <v>0</v>
      </c>
      <c r="H22" s="121">
        <f t="shared" si="6"/>
        <v>0</v>
      </c>
      <c r="I22" s="121">
        <f t="shared" si="6"/>
        <v>0</v>
      </c>
      <c r="J22" s="121">
        <f t="shared" si="6"/>
        <v>0</v>
      </c>
      <c r="K22" s="121">
        <f t="shared" si="6"/>
        <v>0</v>
      </c>
      <c r="L22" s="121">
        <f t="shared" si="6"/>
        <v>0</v>
      </c>
      <c r="M22" s="121">
        <f>SUM(M21)</f>
        <v>51257</v>
      </c>
      <c r="N22" s="121">
        <f t="shared" si="6"/>
        <v>0</v>
      </c>
      <c r="O22" s="121">
        <f t="shared" si="6"/>
        <v>0</v>
      </c>
    </row>
    <row r="23" spans="3:15" x14ac:dyDescent="0.35">
      <c r="C23" s="111" t="s">
        <v>28</v>
      </c>
      <c r="D23" s="112" t="s">
        <v>29</v>
      </c>
      <c r="E23" s="113" t="s">
        <v>16</v>
      </c>
      <c r="F23" s="114">
        <v>0</v>
      </c>
      <c r="G23" s="114">
        <v>0</v>
      </c>
      <c r="H23" s="115">
        <f t="shared" si="4"/>
        <v>0</v>
      </c>
      <c r="I23" s="115">
        <f t="shared" si="5"/>
        <v>0</v>
      </c>
      <c r="J23" s="116">
        <v>0</v>
      </c>
      <c r="K23" s="117">
        <v>0</v>
      </c>
      <c r="L23" s="116">
        <v>0</v>
      </c>
      <c r="M23" s="114">
        <f>'20-03-2026'!J73</f>
        <v>33969</v>
      </c>
      <c r="N23" s="117">
        <v>0</v>
      </c>
      <c r="O23" s="116">
        <v>0</v>
      </c>
    </row>
    <row r="24" spans="3:15" x14ac:dyDescent="0.35">
      <c r="C24" s="111" t="s">
        <v>28</v>
      </c>
      <c r="D24" s="112" t="s">
        <v>25</v>
      </c>
      <c r="E24" s="113" t="s">
        <v>16</v>
      </c>
      <c r="F24" s="114">
        <v>0</v>
      </c>
      <c r="G24" s="114">
        <v>0</v>
      </c>
      <c r="H24" s="115">
        <f t="shared" si="4"/>
        <v>0</v>
      </c>
      <c r="I24" s="115">
        <f t="shared" si="5"/>
        <v>0</v>
      </c>
      <c r="J24" s="116">
        <v>0</v>
      </c>
      <c r="K24" s="117">
        <v>0</v>
      </c>
      <c r="L24" s="116">
        <v>0</v>
      </c>
      <c r="M24" s="114">
        <f>'20-03-2026'!J74</f>
        <v>151366</v>
      </c>
      <c r="N24" s="117">
        <v>0</v>
      </c>
      <c r="O24" s="116">
        <v>0</v>
      </c>
    </row>
    <row r="25" spans="3:15" x14ac:dyDescent="0.35">
      <c r="C25" s="106" t="s">
        <v>22</v>
      </c>
      <c r="D25" s="106"/>
      <c r="E25" s="106"/>
      <c r="F25" s="121">
        <f t="shared" ref="F25:L25" si="7">SUM(F23:F24)</f>
        <v>0</v>
      </c>
      <c r="G25" s="121">
        <f t="shared" si="7"/>
        <v>0</v>
      </c>
      <c r="H25" s="121">
        <f t="shared" si="7"/>
        <v>0</v>
      </c>
      <c r="I25" s="121">
        <f t="shared" si="7"/>
        <v>0</v>
      </c>
      <c r="J25" s="121">
        <f t="shared" si="7"/>
        <v>0</v>
      </c>
      <c r="K25" s="121">
        <f>SUM(K23:K24)</f>
        <v>0</v>
      </c>
      <c r="L25" s="121">
        <f t="shared" si="7"/>
        <v>0</v>
      </c>
      <c r="M25" s="121">
        <f>SUM(M23:M24)</f>
        <v>185335</v>
      </c>
      <c r="N25" s="121">
        <f t="shared" ref="N25:O25" si="8">SUM(N23:N24)</f>
        <v>0</v>
      </c>
      <c r="O25" s="121">
        <f t="shared" si="8"/>
        <v>0</v>
      </c>
    </row>
    <row r="26" spans="3:15" x14ac:dyDescent="0.35">
      <c r="C26" s="111" t="s">
        <v>30</v>
      </c>
      <c r="D26" s="112" t="s">
        <v>29</v>
      </c>
      <c r="E26" s="113" t="s">
        <v>16</v>
      </c>
      <c r="F26" s="122">
        <v>0</v>
      </c>
      <c r="G26" s="122">
        <v>0</v>
      </c>
      <c r="H26" s="115">
        <f t="shared" si="4"/>
        <v>0</v>
      </c>
      <c r="I26" s="115">
        <f t="shared" si="5"/>
        <v>0</v>
      </c>
      <c r="J26" s="123">
        <v>0</v>
      </c>
      <c r="K26" s="124">
        <v>0</v>
      </c>
      <c r="L26" s="123">
        <v>0</v>
      </c>
      <c r="M26" s="122">
        <f>'20-03-2026'!J77</f>
        <v>89658</v>
      </c>
      <c r="N26" s="124">
        <v>0</v>
      </c>
      <c r="O26" s="123">
        <v>0</v>
      </c>
    </row>
    <row r="27" spans="3:15" x14ac:dyDescent="0.35">
      <c r="C27" s="111" t="s">
        <v>30</v>
      </c>
      <c r="D27" s="112" t="s">
        <v>31</v>
      </c>
      <c r="E27" s="113" t="s">
        <v>16</v>
      </c>
      <c r="F27" s="122">
        <v>0</v>
      </c>
      <c r="G27" s="122">
        <v>0</v>
      </c>
      <c r="H27" s="115">
        <f t="shared" si="4"/>
        <v>0</v>
      </c>
      <c r="I27" s="115">
        <f t="shared" si="5"/>
        <v>0</v>
      </c>
      <c r="J27" s="123">
        <v>0</v>
      </c>
      <c r="K27" s="124">
        <v>0</v>
      </c>
      <c r="L27" s="123">
        <v>0</v>
      </c>
      <c r="M27" s="122">
        <f>'20-03-2026'!J78</f>
        <v>17000</v>
      </c>
      <c r="N27" s="124">
        <v>0</v>
      </c>
      <c r="O27" s="123">
        <v>0</v>
      </c>
    </row>
    <row r="28" spans="3:15" x14ac:dyDescent="0.35">
      <c r="C28" s="106" t="s">
        <v>22</v>
      </c>
      <c r="D28" s="106"/>
      <c r="E28" s="106"/>
      <c r="F28" s="121">
        <f>SUM(F26:F27)</f>
        <v>0</v>
      </c>
      <c r="G28" s="121">
        <f t="shared" ref="G28:O28" si="9">SUM(G26:G27)</f>
        <v>0</v>
      </c>
      <c r="H28" s="121">
        <f t="shared" si="9"/>
        <v>0</v>
      </c>
      <c r="I28" s="121">
        <f t="shared" si="9"/>
        <v>0</v>
      </c>
      <c r="J28" s="121">
        <f t="shared" si="9"/>
        <v>0</v>
      </c>
      <c r="K28" s="121">
        <f t="shared" si="9"/>
        <v>0</v>
      </c>
      <c r="L28" s="121">
        <f t="shared" si="9"/>
        <v>0</v>
      </c>
      <c r="M28" s="121">
        <f t="shared" si="9"/>
        <v>106658</v>
      </c>
      <c r="N28" s="121">
        <f t="shared" si="9"/>
        <v>0</v>
      </c>
      <c r="O28" s="121">
        <f t="shared" si="9"/>
        <v>0</v>
      </c>
    </row>
    <row r="29" spans="3:15" x14ac:dyDescent="0.35">
      <c r="C29" s="111" t="s">
        <v>32</v>
      </c>
      <c r="D29" s="112" t="s">
        <v>33</v>
      </c>
      <c r="E29" s="113" t="s">
        <v>100</v>
      </c>
      <c r="F29" s="125">
        <v>105679</v>
      </c>
      <c r="G29" s="114">
        <v>0</v>
      </c>
      <c r="H29" s="115">
        <f t="shared" si="4"/>
        <v>105679</v>
      </c>
      <c r="I29" s="115">
        <f t="shared" si="5"/>
        <v>78553</v>
      </c>
      <c r="J29" s="116">
        <v>27126</v>
      </c>
      <c r="K29" s="117">
        <v>0</v>
      </c>
      <c r="L29" s="116">
        <v>0</v>
      </c>
      <c r="M29" s="114">
        <f>'20-03-2026'!J65</f>
        <v>1584437</v>
      </c>
      <c r="N29" s="117">
        <v>0</v>
      </c>
      <c r="O29" s="116">
        <v>20718</v>
      </c>
    </row>
    <row r="30" spans="3:15" x14ac:dyDescent="0.35">
      <c r="C30" s="111" t="s">
        <v>32</v>
      </c>
      <c r="D30" s="112" t="s">
        <v>31</v>
      </c>
      <c r="E30" s="113" t="s">
        <v>16</v>
      </c>
      <c r="F30" s="125">
        <v>0</v>
      </c>
      <c r="G30" s="114">
        <v>0</v>
      </c>
      <c r="H30" s="115">
        <f t="shared" si="4"/>
        <v>0</v>
      </c>
      <c r="I30" s="115">
        <f t="shared" si="5"/>
        <v>0</v>
      </c>
      <c r="J30" s="116">
        <v>0</v>
      </c>
      <c r="K30" s="117">
        <v>0</v>
      </c>
      <c r="L30" s="116">
        <v>0</v>
      </c>
      <c r="M30" s="114">
        <f>'20-03-2026'!J66</f>
        <v>174473</v>
      </c>
      <c r="N30" s="117">
        <v>0</v>
      </c>
      <c r="O30" s="116">
        <v>0</v>
      </c>
    </row>
    <row r="31" spans="3:15" x14ac:dyDescent="0.35">
      <c r="C31" s="111" t="s">
        <v>32</v>
      </c>
      <c r="D31" s="112" t="s">
        <v>26</v>
      </c>
      <c r="E31" s="113" t="s">
        <v>16</v>
      </c>
      <c r="F31" s="125">
        <v>0</v>
      </c>
      <c r="G31" s="114">
        <v>0</v>
      </c>
      <c r="H31" s="115">
        <f t="shared" si="4"/>
        <v>0</v>
      </c>
      <c r="I31" s="115">
        <f t="shared" si="5"/>
        <v>0</v>
      </c>
      <c r="J31" s="116">
        <v>0</v>
      </c>
      <c r="K31" s="117">
        <v>0</v>
      </c>
      <c r="L31" s="116">
        <v>0</v>
      </c>
      <c r="M31" s="114">
        <f>'20-03-2026'!J67</f>
        <v>35126</v>
      </c>
      <c r="N31" s="117">
        <v>0</v>
      </c>
      <c r="O31" s="116">
        <v>0</v>
      </c>
    </row>
    <row r="32" spans="3:15" x14ac:dyDescent="0.35">
      <c r="C32" s="111" t="s">
        <v>32</v>
      </c>
      <c r="D32" s="112" t="s">
        <v>34</v>
      </c>
      <c r="E32" s="113" t="s">
        <v>84</v>
      </c>
      <c r="F32" s="125">
        <v>0</v>
      </c>
      <c r="G32" s="114">
        <v>0</v>
      </c>
      <c r="H32" s="115">
        <f t="shared" si="4"/>
        <v>0</v>
      </c>
      <c r="I32" s="115">
        <f t="shared" si="5"/>
        <v>0</v>
      </c>
      <c r="J32" s="116">
        <v>0</v>
      </c>
      <c r="K32" s="117">
        <v>0</v>
      </c>
      <c r="L32" s="116">
        <v>0</v>
      </c>
      <c r="M32" s="114">
        <f>'20-03-2026'!J68</f>
        <v>1512804</v>
      </c>
      <c r="N32" s="117">
        <v>0</v>
      </c>
      <c r="O32" s="116">
        <v>100652</v>
      </c>
    </row>
    <row r="33" spans="3:15" x14ac:dyDescent="0.35">
      <c r="C33" s="106" t="s">
        <v>22</v>
      </c>
      <c r="D33" s="106"/>
      <c r="E33" s="106"/>
      <c r="F33" s="121">
        <f t="shared" ref="F33:O33" si="10">SUM(F29:F32)</f>
        <v>105679</v>
      </c>
      <c r="G33" s="121">
        <f t="shared" si="10"/>
        <v>0</v>
      </c>
      <c r="H33" s="121">
        <f t="shared" si="10"/>
        <v>105679</v>
      </c>
      <c r="I33" s="121">
        <f t="shared" si="10"/>
        <v>78553</v>
      </c>
      <c r="J33" s="121">
        <f t="shared" si="10"/>
        <v>27126</v>
      </c>
      <c r="K33" s="121">
        <f t="shared" si="10"/>
        <v>0</v>
      </c>
      <c r="L33" s="121">
        <f t="shared" si="10"/>
        <v>0</v>
      </c>
      <c r="M33" s="121">
        <f t="shared" si="10"/>
        <v>3306840</v>
      </c>
      <c r="N33" s="121">
        <f t="shared" si="10"/>
        <v>0</v>
      </c>
      <c r="O33" s="121">
        <f t="shared" si="10"/>
        <v>121370</v>
      </c>
    </row>
    <row r="34" spans="3:15" x14ac:dyDescent="0.35">
      <c r="C34" s="126" t="s">
        <v>35</v>
      </c>
      <c r="D34" s="126"/>
      <c r="E34" s="126"/>
      <c r="F34" s="127">
        <f t="shared" ref="F34:O34" si="11">F33+F28+F25+F22+F20+F12</f>
        <v>793750</v>
      </c>
      <c r="G34" s="127">
        <f t="shared" si="11"/>
        <v>25395</v>
      </c>
      <c r="H34" s="127">
        <f t="shared" si="11"/>
        <v>768355</v>
      </c>
      <c r="I34" s="127">
        <f t="shared" si="11"/>
        <v>472289</v>
      </c>
      <c r="J34" s="127">
        <f t="shared" si="11"/>
        <v>296066</v>
      </c>
      <c r="K34" s="127">
        <f t="shared" si="11"/>
        <v>0</v>
      </c>
      <c r="L34" s="127">
        <f t="shared" si="11"/>
        <v>57001</v>
      </c>
      <c r="M34" s="127">
        <f t="shared" si="11"/>
        <v>15804795</v>
      </c>
      <c r="N34" s="127">
        <f t="shared" si="11"/>
        <v>0</v>
      </c>
      <c r="O34" s="127">
        <f t="shared" si="11"/>
        <v>1082827</v>
      </c>
    </row>
    <row r="35" spans="3:15" x14ac:dyDescent="0.35">
      <c r="F35" s="128" t="s">
        <v>36</v>
      </c>
      <c r="G35" s="116">
        <f>O12+L12+J12-K12</f>
        <v>681638</v>
      </c>
      <c r="H35" s="252"/>
      <c r="I35" s="253"/>
      <c r="J35" s="129"/>
      <c r="K35" s="130"/>
      <c r="L35" s="130"/>
    </row>
    <row r="36" spans="3:15" x14ac:dyDescent="0.35">
      <c r="F36" s="131" t="s">
        <v>37</v>
      </c>
      <c r="G36" s="116">
        <f>O20+L20+J20-K20+O22+L22+J22-K22</f>
        <v>605760</v>
      </c>
      <c r="H36" s="132"/>
      <c r="I36" s="133" t="s">
        <v>89</v>
      </c>
      <c r="J36" s="133" t="s">
        <v>90</v>
      </c>
      <c r="K36" s="239" t="s">
        <v>88</v>
      </c>
      <c r="L36" s="238"/>
      <c r="M36" s="254" t="s">
        <v>87</v>
      </c>
      <c r="N36" s="255"/>
      <c r="O36" s="256"/>
    </row>
    <row r="37" spans="3:15" x14ac:dyDescent="0.35">
      <c r="C37" s="257" t="s">
        <v>68</v>
      </c>
      <c r="D37" s="258"/>
      <c r="F37" s="134" t="s">
        <v>38</v>
      </c>
      <c r="G37" s="116">
        <f>O25+L25+J25-K25</f>
        <v>0</v>
      </c>
      <c r="H37" s="132"/>
      <c r="I37" s="133"/>
      <c r="J37" s="135"/>
      <c r="K37" s="239"/>
      <c r="L37" s="238"/>
      <c r="M37" s="136"/>
      <c r="N37" s="137"/>
      <c r="O37" s="138"/>
    </row>
    <row r="38" spans="3:15" x14ac:dyDescent="0.35">
      <c r="C38" s="139"/>
      <c r="D38" s="139"/>
      <c r="F38" s="140" t="s">
        <v>30</v>
      </c>
      <c r="G38" s="116">
        <f>O28+L28+J28-K28</f>
        <v>0</v>
      </c>
      <c r="H38" s="132"/>
      <c r="I38" s="141"/>
      <c r="J38" s="135"/>
      <c r="K38" s="239"/>
      <c r="L38" s="238"/>
      <c r="M38" s="136"/>
      <c r="N38" s="137"/>
      <c r="O38" s="138"/>
    </row>
    <row r="39" spans="3:15" x14ac:dyDescent="0.35">
      <c r="C39" s="139"/>
      <c r="D39" s="139"/>
      <c r="F39" s="128" t="s">
        <v>39</v>
      </c>
      <c r="G39" s="116">
        <f>O33+L33+J33-K33</f>
        <v>148496</v>
      </c>
      <c r="H39" s="132"/>
      <c r="I39" s="141"/>
      <c r="J39" s="135"/>
      <c r="K39" s="239"/>
      <c r="L39" s="238"/>
      <c r="M39" s="136"/>
      <c r="N39" s="137"/>
      <c r="O39" s="138"/>
    </row>
    <row r="40" spans="3:15" x14ac:dyDescent="0.35">
      <c r="C40" s="139"/>
      <c r="D40" s="139"/>
      <c r="F40" s="142" t="s">
        <v>40</v>
      </c>
      <c r="G40" s="143">
        <f>SUM(G35:G39)</f>
        <v>1435894</v>
      </c>
      <c r="I40" s="139"/>
      <c r="J40" s="135"/>
      <c r="K40" s="239"/>
      <c r="L40" s="238"/>
      <c r="M40" s="136"/>
      <c r="N40" s="137"/>
      <c r="O40" s="138"/>
    </row>
    <row r="41" spans="3:15" x14ac:dyDescent="0.35">
      <c r="C41" s="139"/>
      <c r="D41" s="139"/>
      <c r="F41" s="144"/>
      <c r="G41" s="145"/>
      <c r="I41" s="139"/>
      <c r="J41" s="135"/>
      <c r="K41" s="239"/>
      <c r="L41" s="238"/>
      <c r="M41" s="136"/>
      <c r="N41" s="137"/>
      <c r="O41" s="138"/>
    </row>
    <row r="42" spans="3:15" x14ac:dyDescent="0.35">
      <c r="C42" s="139"/>
      <c r="D42" s="139"/>
      <c r="F42" s="144"/>
      <c r="G42" s="145"/>
      <c r="I42" s="139"/>
      <c r="J42" s="135"/>
      <c r="K42" s="137"/>
      <c r="L42" s="137"/>
      <c r="M42" s="136"/>
      <c r="N42" s="137"/>
      <c r="O42" s="138"/>
    </row>
    <row r="43" spans="3:15" x14ac:dyDescent="0.35">
      <c r="C43" s="139"/>
      <c r="D43" s="139"/>
      <c r="F43" s="144"/>
      <c r="G43" s="145"/>
      <c r="I43" s="139"/>
      <c r="J43" s="135"/>
      <c r="K43" s="137"/>
      <c r="L43" s="137"/>
      <c r="M43" s="136"/>
      <c r="N43" s="137"/>
      <c r="O43" s="138"/>
    </row>
    <row r="44" spans="3:15" x14ac:dyDescent="0.35">
      <c r="C44" s="139"/>
      <c r="D44" s="139"/>
      <c r="F44" s="144"/>
      <c r="G44" s="145"/>
      <c r="I44" s="139"/>
      <c r="J44" s="135"/>
      <c r="K44" s="137"/>
      <c r="L44" s="137"/>
      <c r="M44" s="136"/>
      <c r="N44" s="137"/>
      <c r="O44" s="138"/>
    </row>
    <row r="45" spans="3:15" x14ac:dyDescent="0.35">
      <c r="C45" s="139"/>
      <c r="D45" s="139"/>
      <c r="F45" s="144"/>
      <c r="G45" s="145"/>
      <c r="I45" s="139"/>
      <c r="J45" s="135"/>
      <c r="K45" s="237"/>
      <c r="L45" s="238"/>
      <c r="M45" s="237"/>
      <c r="N45" s="239"/>
      <c r="O45" s="238"/>
    </row>
    <row r="46" spans="3:15" x14ac:dyDescent="0.35">
      <c r="C46" s="139"/>
      <c r="D46" s="139"/>
      <c r="F46" s="144"/>
      <c r="G46" s="145"/>
      <c r="I46" s="139"/>
      <c r="J46" s="133"/>
      <c r="K46" s="237"/>
      <c r="L46" s="238"/>
      <c r="M46" s="237"/>
      <c r="N46" s="239"/>
      <c r="O46" s="238"/>
    </row>
    <row r="47" spans="3:15" x14ac:dyDescent="0.35">
      <c r="C47" s="139"/>
      <c r="D47" s="139"/>
      <c r="F47" s="144"/>
      <c r="G47" s="145"/>
      <c r="I47" s="139"/>
      <c r="J47" s="133"/>
      <c r="K47" s="237"/>
      <c r="L47" s="238"/>
      <c r="M47" s="237"/>
      <c r="N47" s="239"/>
      <c r="O47" s="238"/>
    </row>
    <row r="48" spans="3:15" x14ac:dyDescent="0.35">
      <c r="C48" s="139"/>
      <c r="D48" s="139"/>
      <c r="F48" s="144"/>
      <c r="G48" s="145"/>
      <c r="I48" s="139"/>
      <c r="J48" s="133"/>
      <c r="K48" s="237"/>
      <c r="L48" s="238"/>
      <c r="M48" s="237"/>
      <c r="N48" s="239"/>
      <c r="O48" s="238"/>
    </row>
    <row r="49" spans="3:15" x14ac:dyDescent="0.35">
      <c r="C49" s="139"/>
      <c r="D49" s="139"/>
      <c r="F49" s="144"/>
      <c r="G49" s="145"/>
      <c r="I49" s="139"/>
      <c r="J49" s="133"/>
      <c r="K49" s="237"/>
      <c r="L49" s="238"/>
      <c r="M49" s="237"/>
      <c r="N49" s="239"/>
      <c r="O49" s="238"/>
    </row>
    <row r="50" spans="3:15" x14ac:dyDescent="0.35">
      <c r="H50" s="240" t="s">
        <v>41</v>
      </c>
      <c r="I50" s="240"/>
      <c r="J50" s="240"/>
      <c r="K50" s="241"/>
      <c r="L50" s="110"/>
      <c r="M50" s="146"/>
    </row>
    <row r="51" spans="3:15" x14ac:dyDescent="0.35">
      <c r="H51" s="147" t="s">
        <v>42</v>
      </c>
      <c r="I51" s="147" t="s">
        <v>43</v>
      </c>
      <c r="J51" s="147" t="s">
        <v>44</v>
      </c>
      <c r="K51" s="241"/>
      <c r="L51" s="146"/>
    </row>
    <row r="52" spans="3:15" x14ac:dyDescent="0.35">
      <c r="F52" s="148"/>
      <c r="H52" s="104" t="s">
        <v>14</v>
      </c>
      <c r="I52" s="104" t="s">
        <v>15</v>
      </c>
      <c r="J52" s="148">
        <f t="shared" ref="J52:J56" si="12">M5-O5-N5-L5+I5</f>
        <v>372270</v>
      </c>
      <c r="K52" s="149">
        <v>372270</v>
      </c>
      <c r="L52" s="150">
        <f>J52-K52</f>
        <v>0</v>
      </c>
      <c r="M52" s="148"/>
    </row>
    <row r="53" spans="3:15" x14ac:dyDescent="0.35">
      <c r="C53" s="242">
        <v>45931</v>
      </c>
      <c r="D53" s="242"/>
      <c r="E53" s="242"/>
      <c r="H53" s="104" t="s">
        <v>14</v>
      </c>
      <c r="I53" s="104" t="s">
        <v>17</v>
      </c>
      <c r="J53" s="148">
        <f t="shared" si="12"/>
        <v>3257215</v>
      </c>
      <c r="K53" s="149">
        <v>3257214</v>
      </c>
      <c r="L53" s="150">
        <f t="shared" ref="L53:L64" si="13">J53-K53</f>
        <v>1</v>
      </c>
      <c r="M53" s="148"/>
    </row>
    <row r="54" spans="3:15" x14ac:dyDescent="0.35">
      <c r="C54" s="243" t="s">
        <v>63</v>
      </c>
      <c r="D54" s="243"/>
      <c r="E54" s="243"/>
      <c r="H54" s="104" t="s">
        <v>14</v>
      </c>
      <c r="I54" s="104" t="s">
        <v>18</v>
      </c>
      <c r="J54" s="148">
        <f t="shared" si="12"/>
        <v>1800841</v>
      </c>
      <c r="K54" s="149">
        <v>1800842</v>
      </c>
      <c r="L54" s="150">
        <f t="shared" si="13"/>
        <v>-1</v>
      </c>
      <c r="M54" s="148"/>
    </row>
    <row r="55" spans="3:15" x14ac:dyDescent="0.35">
      <c r="C55" s="139" t="s">
        <v>64</v>
      </c>
      <c r="D55" s="225">
        <f>'Opening Balance FEB 2026'!J4</f>
        <v>1308640</v>
      </c>
      <c r="E55" s="226"/>
      <c r="H55" s="104" t="s">
        <v>14</v>
      </c>
      <c r="I55" s="104" t="s">
        <v>19</v>
      </c>
      <c r="J55" s="148">
        <f t="shared" si="12"/>
        <v>1311552</v>
      </c>
      <c r="K55" s="149">
        <v>1311585</v>
      </c>
      <c r="L55" s="150">
        <f t="shared" si="13"/>
        <v>-33</v>
      </c>
      <c r="M55" s="148"/>
    </row>
    <row r="56" spans="3:15" x14ac:dyDescent="0.35">
      <c r="C56" s="139" t="s">
        <v>65</v>
      </c>
      <c r="D56" s="225">
        <f>G40</f>
        <v>1435894</v>
      </c>
      <c r="E56" s="226"/>
      <c r="H56" s="104" t="s">
        <v>14</v>
      </c>
      <c r="I56" s="104" t="s">
        <v>20</v>
      </c>
      <c r="J56" s="148">
        <f t="shared" si="12"/>
        <v>1341793</v>
      </c>
      <c r="K56" s="149">
        <v>1341793</v>
      </c>
      <c r="L56" s="150">
        <f t="shared" si="13"/>
        <v>0</v>
      </c>
      <c r="M56" s="148"/>
    </row>
    <row r="57" spans="3:15" x14ac:dyDescent="0.35">
      <c r="C57" s="151" t="s">
        <v>45</v>
      </c>
      <c r="D57" s="244">
        <f>D55+D56</f>
        <v>2744534</v>
      </c>
      <c r="E57" s="245"/>
      <c r="H57" s="104" t="s">
        <v>14</v>
      </c>
      <c r="I57" s="104" t="s">
        <v>21</v>
      </c>
      <c r="J57" s="148">
        <f>M10-O10-N10-L10+I10+I11</f>
        <v>740022</v>
      </c>
      <c r="K57" s="149">
        <v>790333</v>
      </c>
      <c r="L57" s="150">
        <f t="shared" si="13"/>
        <v>-50311</v>
      </c>
    </row>
    <row r="58" spans="3:15" x14ac:dyDescent="0.35">
      <c r="C58" s="139" t="s">
        <v>66</v>
      </c>
      <c r="D58" s="235">
        <v>0</v>
      </c>
      <c r="E58" s="236"/>
      <c r="H58" s="152" t="s">
        <v>45</v>
      </c>
      <c r="I58" s="152"/>
      <c r="J58" s="153">
        <f>SUM(J52:J57)</f>
        <v>8823693</v>
      </c>
      <c r="K58" s="154">
        <v>8874004</v>
      </c>
      <c r="L58" s="150">
        <f t="shared" si="13"/>
        <v>-50311</v>
      </c>
    </row>
    <row r="59" spans="3:15" x14ac:dyDescent="0.35">
      <c r="C59" s="139" t="s">
        <v>78</v>
      </c>
      <c r="D59" s="235">
        <v>0</v>
      </c>
      <c r="E59" s="236"/>
      <c r="H59" s="152"/>
      <c r="I59" s="152"/>
      <c r="J59" s="153"/>
      <c r="K59" s="155"/>
      <c r="L59" s="150"/>
    </row>
    <row r="60" spans="3:15" x14ac:dyDescent="0.35">
      <c r="C60" s="139" t="s">
        <v>75</v>
      </c>
      <c r="D60" s="235">
        <v>10000</v>
      </c>
      <c r="E60" s="236"/>
      <c r="H60" s="147" t="s">
        <v>42</v>
      </c>
      <c r="I60" s="147" t="s">
        <v>43</v>
      </c>
      <c r="J60" s="147" t="s">
        <v>44</v>
      </c>
      <c r="K60" s="146"/>
      <c r="L60" s="150"/>
    </row>
    <row r="61" spans="3:15" x14ac:dyDescent="0.35">
      <c r="C61" s="156" t="s">
        <v>83</v>
      </c>
      <c r="D61" s="227">
        <f>SUM(D58:E60)</f>
        <v>10000</v>
      </c>
      <c r="E61" s="228"/>
      <c r="H61" s="104" t="s">
        <v>46</v>
      </c>
      <c r="I61" s="104" t="s">
        <v>48</v>
      </c>
      <c r="J61" s="148">
        <f>M13-O13-N13-L13+I13</f>
        <v>430616</v>
      </c>
      <c r="K61" s="149">
        <v>430616</v>
      </c>
      <c r="L61" s="150">
        <f t="shared" si="13"/>
        <v>0</v>
      </c>
    </row>
    <row r="62" spans="3:15" x14ac:dyDescent="0.35">
      <c r="C62" s="157" t="s">
        <v>67</v>
      </c>
      <c r="D62" s="229">
        <f>D57-D58-D60-D59</f>
        <v>2734534</v>
      </c>
      <c r="E62" s="230"/>
      <c r="H62" s="104" t="s">
        <v>46</v>
      </c>
      <c r="I62" s="104" t="s">
        <v>47</v>
      </c>
      <c r="J62" s="148">
        <f>M14-O14-N14-L14+I14+I15</f>
        <v>1896459</v>
      </c>
      <c r="K62" s="149">
        <v>1896459</v>
      </c>
      <c r="L62" s="150">
        <f t="shared" si="13"/>
        <v>0</v>
      </c>
      <c r="N62" s="148"/>
    </row>
    <row r="63" spans="3:15" x14ac:dyDescent="0.35">
      <c r="C63" s="158" t="s">
        <v>68</v>
      </c>
      <c r="D63" s="231"/>
      <c r="E63" s="232"/>
      <c r="H63" s="104" t="s">
        <v>46</v>
      </c>
      <c r="I63" s="104" t="s">
        <v>15</v>
      </c>
      <c r="J63" s="148">
        <f>M17-O17-N17-L17+I17</f>
        <v>379215</v>
      </c>
      <c r="K63" s="149">
        <v>379215</v>
      </c>
      <c r="L63" s="150">
        <f t="shared" si="13"/>
        <v>0</v>
      </c>
      <c r="M63" s="148"/>
      <c r="N63" s="148"/>
    </row>
    <row r="64" spans="3:15" x14ac:dyDescent="0.35">
      <c r="C64" s="139" t="s">
        <v>14</v>
      </c>
      <c r="D64" s="225">
        <v>0</v>
      </c>
      <c r="E64" s="226"/>
      <c r="H64" s="104" t="s">
        <v>46</v>
      </c>
      <c r="I64" s="104" t="s">
        <v>20</v>
      </c>
      <c r="J64" s="148">
        <f>M18-O18</f>
        <v>0</v>
      </c>
      <c r="K64" s="149">
        <v>8160</v>
      </c>
      <c r="L64" s="150">
        <f t="shared" si="13"/>
        <v>-8160</v>
      </c>
    </row>
    <row r="65" spans="3:14" x14ac:dyDescent="0.35">
      <c r="C65" s="139" t="s">
        <v>72</v>
      </c>
      <c r="D65" s="225">
        <v>0</v>
      </c>
      <c r="E65" s="226"/>
      <c r="H65" s="104" t="s">
        <v>27</v>
      </c>
      <c r="I65" s="104" t="s">
        <v>47</v>
      </c>
      <c r="J65" s="148">
        <f>M21-O21-N21-L21+I21</f>
        <v>51257</v>
      </c>
      <c r="K65" s="149">
        <v>51257</v>
      </c>
      <c r="L65" s="150">
        <f>J65-K65</f>
        <v>0</v>
      </c>
    </row>
    <row r="66" spans="3:14" x14ac:dyDescent="0.35">
      <c r="C66" s="139" t="s">
        <v>69</v>
      </c>
      <c r="D66" s="225">
        <v>0</v>
      </c>
      <c r="E66" s="226"/>
      <c r="H66" s="152" t="s">
        <v>45</v>
      </c>
      <c r="I66" s="152"/>
      <c r="J66" s="153">
        <f>SUM(J61:J65)</f>
        <v>2757547</v>
      </c>
      <c r="K66" s="149">
        <f>SUM(K61:K65)</f>
        <v>2765707</v>
      </c>
      <c r="L66" s="150">
        <f>J66-K66</f>
        <v>-8160</v>
      </c>
    </row>
    <row r="67" spans="3:14" x14ac:dyDescent="0.35">
      <c r="C67" s="139" t="s">
        <v>70</v>
      </c>
      <c r="D67" s="225">
        <v>0</v>
      </c>
      <c r="E67" s="226"/>
      <c r="F67" s="148"/>
      <c r="H67" s="147" t="s">
        <v>42</v>
      </c>
      <c r="I67" s="147" t="s">
        <v>43</v>
      </c>
      <c r="J67" s="147" t="s">
        <v>44</v>
      </c>
    </row>
    <row r="68" spans="3:14" x14ac:dyDescent="0.35">
      <c r="C68" s="139" t="s">
        <v>71</v>
      </c>
      <c r="D68" s="225">
        <v>0</v>
      </c>
      <c r="E68" s="226"/>
      <c r="F68" s="159"/>
      <c r="G68" s="160"/>
      <c r="H68" s="104" t="s">
        <v>49</v>
      </c>
      <c r="I68" s="104" t="s">
        <v>51</v>
      </c>
      <c r="J68" s="148">
        <f>M29-O29-N29-L29+I29</f>
        <v>1642272</v>
      </c>
      <c r="K68" s="149">
        <v>1671613</v>
      </c>
      <c r="L68" s="150">
        <f t="shared" ref="L68:L74" si="14">J68-K68</f>
        <v>-29341</v>
      </c>
      <c r="N68" s="148"/>
    </row>
    <row r="69" spans="3:14" x14ac:dyDescent="0.35">
      <c r="C69" s="157" t="s">
        <v>73</v>
      </c>
      <c r="D69" s="229">
        <f>SUM(D64:D68)</f>
        <v>0</v>
      </c>
      <c r="E69" s="230"/>
      <c r="F69" s="148"/>
      <c r="H69" s="104" t="s">
        <v>49</v>
      </c>
      <c r="I69" s="104" t="s">
        <v>18</v>
      </c>
      <c r="J69" s="148">
        <f>M30-O30-N30-L30+I30</f>
        <v>174473</v>
      </c>
      <c r="K69" s="149">
        <v>174473</v>
      </c>
      <c r="L69" s="150">
        <f t="shared" si="14"/>
        <v>0</v>
      </c>
    </row>
    <row r="70" spans="3:14" x14ac:dyDescent="0.35">
      <c r="C70" s="161" t="s">
        <v>74</v>
      </c>
      <c r="D70" s="233">
        <f>D62-D69</f>
        <v>2734534</v>
      </c>
      <c r="E70" s="234"/>
      <c r="F70" s="148"/>
      <c r="H70" s="104" t="s">
        <v>49</v>
      </c>
      <c r="I70" s="104" t="s">
        <v>15</v>
      </c>
      <c r="J70" s="148">
        <f>M31-O31-N31-L31+I31</f>
        <v>35126</v>
      </c>
      <c r="K70" s="149">
        <v>35126</v>
      </c>
      <c r="L70" s="150">
        <f t="shared" si="14"/>
        <v>0</v>
      </c>
    </row>
    <row r="71" spans="3:14" x14ac:dyDescent="0.35">
      <c r="C71" s="139"/>
      <c r="D71" s="225">
        <v>3102990</v>
      </c>
      <c r="E71" s="226"/>
      <c r="H71" s="104" t="s">
        <v>49</v>
      </c>
      <c r="I71" s="104" t="s">
        <v>50</v>
      </c>
      <c r="J71" s="148">
        <f>M32-O32-N32-L32+I32</f>
        <v>1412152</v>
      </c>
      <c r="K71" s="162">
        <v>1382171</v>
      </c>
      <c r="L71" s="150">
        <f t="shared" si="14"/>
        <v>29981</v>
      </c>
    </row>
    <row r="72" spans="3:14" x14ac:dyDescent="0.35">
      <c r="C72" s="139"/>
      <c r="D72" s="225">
        <f>D70-D71</f>
        <v>-368456</v>
      </c>
      <c r="E72" s="226"/>
      <c r="H72" s="104" t="s">
        <v>49</v>
      </c>
      <c r="I72" s="104" t="s">
        <v>20</v>
      </c>
      <c r="J72" s="148">
        <f>'Opening Balance FEB 2026'!F24</f>
        <v>66046</v>
      </c>
      <c r="K72" s="149">
        <v>66046</v>
      </c>
      <c r="L72" s="150">
        <f t="shared" si="14"/>
        <v>0</v>
      </c>
    </row>
    <row r="73" spans="3:14" x14ac:dyDescent="0.35">
      <c r="H73" s="104" t="s">
        <v>49</v>
      </c>
      <c r="I73" s="104" t="s">
        <v>47</v>
      </c>
      <c r="J73" s="148">
        <f>'Opening Balance FEB 2026'!F25</f>
        <v>23570</v>
      </c>
      <c r="K73" s="149">
        <v>23570</v>
      </c>
      <c r="L73" s="150">
        <f t="shared" si="14"/>
        <v>0</v>
      </c>
    </row>
    <row r="74" spans="3:14" x14ac:dyDescent="0.35">
      <c r="H74" s="152" t="s">
        <v>45</v>
      </c>
      <c r="I74" s="152"/>
      <c r="J74" s="153">
        <f>SUM(J68:J73)</f>
        <v>3353639</v>
      </c>
      <c r="K74" s="149">
        <v>3348639</v>
      </c>
      <c r="L74" s="150">
        <f t="shared" si="14"/>
        <v>5000</v>
      </c>
      <c r="N74" s="148"/>
    </row>
    <row r="75" spans="3:14" x14ac:dyDescent="0.35">
      <c r="H75" s="147" t="s">
        <v>42</v>
      </c>
      <c r="I75" s="147" t="s">
        <v>43</v>
      </c>
      <c r="J75" s="147" t="s">
        <v>44</v>
      </c>
    </row>
    <row r="76" spans="3:14" x14ac:dyDescent="0.35">
      <c r="H76" s="104" t="s">
        <v>52</v>
      </c>
      <c r="I76" s="104" t="s">
        <v>53</v>
      </c>
      <c r="J76" s="148">
        <f>M23-O23-N23-L23+I23-G75</f>
        <v>33969</v>
      </c>
      <c r="K76" s="148">
        <v>33969</v>
      </c>
      <c r="L76" s="150">
        <f>J76-K76</f>
        <v>0</v>
      </c>
    </row>
    <row r="77" spans="3:14" x14ac:dyDescent="0.35">
      <c r="H77" s="104" t="s">
        <v>52</v>
      </c>
      <c r="I77" s="104" t="s">
        <v>47</v>
      </c>
      <c r="J77" s="148">
        <f>M24-O24-N24-L24+I24</f>
        <v>151366</v>
      </c>
      <c r="K77" s="162">
        <v>151366</v>
      </c>
      <c r="L77" s="150">
        <f>J77-K77</f>
        <v>0</v>
      </c>
    </row>
    <row r="78" spans="3:14" x14ac:dyDescent="0.35">
      <c r="H78" s="152" t="s">
        <v>45</v>
      </c>
      <c r="I78" s="152"/>
      <c r="J78" s="153">
        <f>SUM(J76:J77)</f>
        <v>185335</v>
      </c>
      <c r="K78" s="148">
        <v>160846</v>
      </c>
      <c r="L78" s="150">
        <f>J78-K78</f>
        <v>24489</v>
      </c>
    </row>
    <row r="79" spans="3:14" x14ac:dyDescent="0.35">
      <c r="G79" s="104">
        <v>0</v>
      </c>
      <c r="H79" s="147" t="s">
        <v>42</v>
      </c>
      <c r="I79" s="147" t="s">
        <v>43</v>
      </c>
      <c r="J79" s="147" t="s">
        <v>44</v>
      </c>
      <c r="K79" s="149">
        <v>0</v>
      </c>
      <c r="L79" s="150"/>
    </row>
    <row r="80" spans="3:14" x14ac:dyDescent="0.35">
      <c r="H80" s="104" t="s">
        <v>54</v>
      </c>
      <c r="I80" s="104" t="s">
        <v>53</v>
      </c>
      <c r="J80" s="148">
        <f>M26-O26-N26-L26+I26-G79</f>
        <v>89658</v>
      </c>
      <c r="K80" s="149">
        <v>89658</v>
      </c>
      <c r="L80" s="150">
        <f>J80-K80</f>
        <v>0</v>
      </c>
    </row>
    <row r="81" spans="4:12" x14ac:dyDescent="0.35">
      <c r="H81" s="104" t="s">
        <v>54</v>
      </c>
      <c r="I81" s="104" t="s">
        <v>18</v>
      </c>
      <c r="J81" s="148">
        <f>M27-O27-N27-L27+I27</f>
        <v>17000</v>
      </c>
      <c r="K81" s="149">
        <v>67000</v>
      </c>
      <c r="L81" s="150">
        <f>J81-K81</f>
        <v>-50000</v>
      </c>
    </row>
    <row r="82" spans="4:12" x14ac:dyDescent="0.35">
      <c r="H82" s="152" t="s">
        <v>45</v>
      </c>
      <c r="I82" s="152"/>
      <c r="J82" s="153">
        <f>SUM(J80:J81)</f>
        <v>106658</v>
      </c>
      <c r="K82" s="148">
        <f>SUM(K79:K81)</f>
        <v>156658</v>
      </c>
      <c r="L82" s="150">
        <f>J82-K82</f>
        <v>-50000</v>
      </c>
    </row>
    <row r="83" spans="4:12" x14ac:dyDescent="0.35">
      <c r="H83" s="147" t="s">
        <v>42</v>
      </c>
      <c r="I83" s="147" t="s">
        <v>43</v>
      </c>
      <c r="J83" s="147" t="s">
        <v>44</v>
      </c>
      <c r="K83" s="149">
        <v>0</v>
      </c>
      <c r="L83" s="150"/>
    </row>
    <row r="84" spans="4:12" x14ac:dyDescent="0.35">
      <c r="H84" s="104" t="s">
        <v>55</v>
      </c>
      <c r="I84" s="104" t="s">
        <v>56</v>
      </c>
      <c r="J84" s="148">
        <f>'Opening Balance FEB 2026'!F36</f>
        <v>103541</v>
      </c>
      <c r="K84" s="149">
        <v>103541</v>
      </c>
      <c r="L84" s="150">
        <f>J84-K84</f>
        <v>0</v>
      </c>
    </row>
    <row r="85" spans="4:12" x14ac:dyDescent="0.35">
      <c r="H85" s="104" t="s">
        <v>55</v>
      </c>
      <c r="I85" s="104" t="s">
        <v>47</v>
      </c>
      <c r="J85" s="148">
        <f>'Opening Balance FEB 2026'!F37</f>
        <v>6013</v>
      </c>
      <c r="K85" s="149">
        <v>6013</v>
      </c>
      <c r="L85" s="150">
        <f>J85-K85</f>
        <v>0</v>
      </c>
    </row>
    <row r="86" spans="4:12" x14ac:dyDescent="0.35">
      <c r="H86" s="152" t="s">
        <v>45</v>
      </c>
      <c r="I86" s="152"/>
      <c r="J86" s="153">
        <v>109554</v>
      </c>
      <c r="K86" s="148">
        <f>SUM(K83:K85)</f>
        <v>109554</v>
      </c>
      <c r="L86" s="150">
        <f>J86-K86</f>
        <v>0</v>
      </c>
    </row>
    <row r="87" spans="4:12" x14ac:dyDescent="0.35">
      <c r="H87" s="147" t="s">
        <v>42</v>
      </c>
      <c r="I87" s="147" t="s">
        <v>43</v>
      </c>
      <c r="J87" s="147" t="s">
        <v>44</v>
      </c>
      <c r="K87" s="149">
        <v>0</v>
      </c>
      <c r="L87" s="150"/>
    </row>
    <row r="88" spans="4:12" x14ac:dyDescent="0.35">
      <c r="H88" s="104" t="s">
        <v>57</v>
      </c>
      <c r="I88" s="104" t="s">
        <v>47</v>
      </c>
      <c r="J88" s="148">
        <f>'Opening Balance FEB 2026'!F40</f>
        <v>16440</v>
      </c>
      <c r="K88" s="149">
        <v>16440</v>
      </c>
      <c r="L88" s="150">
        <f>J88-K88</f>
        <v>0</v>
      </c>
    </row>
    <row r="89" spans="4:12" x14ac:dyDescent="0.35">
      <c r="H89" s="152" t="s">
        <v>45</v>
      </c>
      <c r="I89" s="152"/>
      <c r="J89" s="153">
        <v>16440</v>
      </c>
      <c r="K89" s="149">
        <f>SUM(K87:K88)</f>
        <v>16440</v>
      </c>
    </row>
    <row r="90" spans="4:12" x14ac:dyDescent="0.35">
      <c r="J90" s="148"/>
    </row>
    <row r="91" spans="4:12" x14ac:dyDescent="0.35">
      <c r="H91" s="163" t="s">
        <v>58</v>
      </c>
      <c r="I91" s="163"/>
      <c r="J91" s="164">
        <f>J89+J86+J82+J78+J74+J66+J58</f>
        <v>15352866</v>
      </c>
    </row>
    <row r="93" spans="4:12" x14ac:dyDescent="0.35">
      <c r="D93" s="165" t="s">
        <v>82</v>
      </c>
      <c r="E93" s="165"/>
      <c r="F93" s="165"/>
      <c r="G93" s="165"/>
      <c r="H93" s="165"/>
    </row>
    <row r="94" spans="4:12" x14ac:dyDescent="0.35">
      <c r="D94" s="158" t="s">
        <v>42</v>
      </c>
      <c r="E94" s="158" t="s">
        <v>43</v>
      </c>
      <c r="F94" s="158" t="s">
        <v>79</v>
      </c>
      <c r="G94" s="158" t="s">
        <v>80</v>
      </c>
      <c r="H94" s="158" t="s">
        <v>81</v>
      </c>
    </row>
    <row r="95" spans="4:12" x14ac:dyDescent="0.35">
      <c r="D95" s="139" t="s">
        <v>14</v>
      </c>
      <c r="E95" s="139" t="s">
        <v>15</v>
      </c>
      <c r="F95" s="166">
        <f>H5</f>
        <v>17306</v>
      </c>
      <c r="G95" s="166">
        <f>O5</f>
        <v>50233</v>
      </c>
      <c r="H95" s="166">
        <f>I5</f>
        <v>17306</v>
      </c>
    </row>
    <row r="96" spans="4:12" x14ac:dyDescent="0.35">
      <c r="D96" s="139" t="s">
        <v>14</v>
      </c>
      <c r="E96" s="139" t="s">
        <v>17</v>
      </c>
      <c r="F96" s="166">
        <f>H6</f>
        <v>78970</v>
      </c>
      <c r="G96" s="166">
        <f>O6</f>
        <v>78950</v>
      </c>
      <c r="H96" s="166">
        <f>I6</f>
        <v>78970</v>
      </c>
    </row>
    <row r="97" spans="4:8" x14ac:dyDescent="0.35">
      <c r="D97" s="139" t="s">
        <v>14</v>
      </c>
      <c r="E97" s="139" t="s">
        <v>18</v>
      </c>
      <c r="F97" s="166">
        <f>H7</f>
        <v>106433</v>
      </c>
      <c r="G97" s="166">
        <f>O7</f>
        <v>101393</v>
      </c>
      <c r="H97" s="166">
        <f>I7</f>
        <v>17540</v>
      </c>
    </row>
    <row r="98" spans="4:8" x14ac:dyDescent="0.35">
      <c r="D98" s="139" t="s">
        <v>14</v>
      </c>
      <c r="E98" s="139" t="s">
        <v>19</v>
      </c>
      <c r="F98" s="166">
        <f>H8</f>
        <v>62073</v>
      </c>
      <c r="G98" s="166">
        <f>O8</f>
        <v>94649</v>
      </c>
      <c r="H98" s="166">
        <f>I8</f>
        <v>43885</v>
      </c>
    </row>
    <row r="99" spans="4:8" x14ac:dyDescent="0.35">
      <c r="D99" s="139" t="s">
        <v>14</v>
      </c>
      <c r="E99" s="139" t="s">
        <v>20</v>
      </c>
      <c r="F99" s="166">
        <f>H9</f>
        <v>78589</v>
      </c>
      <c r="G99" s="166">
        <f>O9</f>
        <v>73921</v>
      </c>
      <c r="H99" s="166">
        <f>I9</f>
        <v>30147</v>
      </c>
    </row>
    <row r="100" spans="4:8" x14ac:dyDescent="0.35">
      <c r="D100" s="139" t="s">
        <v>14</v>
      </c>
      <c r="E100" s="139" t="s">
        <v>21</v>
      </c>
      <c r="F100" s="166" t="e">
        <f>#REF!+#REF!</f>
        <v>#REF!</v>
      </c>
      <c r="G100" s="166" t="e">
        <f>#REF!</f>
        <v>#REF!</v>
      </c>
      <c r="H100" s="166" t="e">
        <f>#REF!</f>
        <v>#REF!</v>
      </c>
    </row>
    <row r="101" spans="4:8" x14ac:dyDescent="0.35">
      <c r="D101" s="167" t="s">
        <v>45</v>
      </c>
      <c r="E101" s="167"/>
      <c r="F101" s="168" t="e">
        <f>SUM(F95:F100)</f>
        <v>#REF!</v>
      </c>
      <c r="G101" s="168" t="e">
        <f t="shared" ref="G101" si="15">SUM(G95:G100)</f>
        <v>#REF!</v>
      </c>
      <c r="H101" s="168" t="e">
        <f>SUM(H95:H100)</f>
        <v>#REF!</v>
      </c>
    </row>
    <row r="102" spans="4:8" x14ac:dyDescent="0.35">
      <c r="D102" s="158" t="s">
        <v>42</v>
      </c>
      <c r="E102" s="158" t="s">
        <v>43</v>
      </c>
      <c r="F102" s="169" t="s">
        <v>79</v>
      </c>
      <c r="G102" s="169" t="s">
        <v>80</v>
      </c>
      <c r="H102" s="169" t="s">
        <v>81</v>
      </c>
    </row>
    <row r="103" spans="4:8" x14ac:dyDescent="0.35">
      <c r="D103" s="139" t="s">
        <v>46</v>
      </c>
      <c r="E103" s="139" t="s">
        <v>48</v>
      </c>
      <c r="F103" s="166">
        <f>H13</f>
        <v>95975</v>
      </c>
      <c r="G103" s="166">
        <f>O13</f>
        <v>57290</v>
      </c>
      <c r="H103" s="166">
        <f>I13</f>
        <v>57098</v>
      </c>
    </row>
    <row r="104" spans="4:8" x14ac:dyDescent="0.35">
      <c r="D104" s="139" t="s">
        <v>46</v>
      </c>
      <c r="E104" s="139" t="s">
        <v>47</v>
      </c>
      <c r="F104" s="166">
        <f>H14</f>
        <v>98750</v>
      </c>
      <c r="G104" s="166">
        <f>O14</f>
        <v>454711</v>
      </c>
      <c r="H104" s="166">
        <f>I14</f>
        <v>98750</v>
      </c>
    </row>
    <row r="105" spans="4:8" x14ac:dyDescent="0.35">
      <c r="D105" s="139" t="s">
        <v>27</v>
      </c>
      <c r="E105" s="139" t="s">
        <v>47</v>
      </c>
      <c r="F105" s="166">
        <v>0</v>
      </c>
      <c r="G105" s="166">
        <v>0</v>
      </c>
      <c r="H105" s="166">
        <v>0</v>
      </c>
    </row>
    <row r="106" spans="4:8" x14ac:dyDescent="0.35">
      <c r="D106" s="167" t="s">
        <v>45</v>
      </c>
      <c r="E106" s="167"/>
      <c r="F106" s="168">
        <f>SUM(F103:F105)</f>
        <v>194725</v>
      </c>
      <c r="G106" s="168">
        <f>SUM(G103:G105)</f>
        <v>512001</v>
      </c>
      <c r="H106" s="168">
        <f>SUM(H103:H105)</f>
        <v>155848</v>
      </c>
    </row>
    <row r="107" spans="4:8" x14ac:dyDescent="0.35">
      <c r="D107" s="158" t="s">
        <v>42</v>
      </c>
      <c r="E107" s="158" t="s">
        <v>43</v>
      </c>
      <c r="F107" s="169" t="s">
        <v>79</v>
      </c>
      <c r="G107" s="169" t="s">
        <v>80</v>
      </c>
      <c r="H107" s="169" t="s">
        <v>81</v>
      </c>
    </row>
    <row r="108" spans="4:8" x14ac:dyDescent="0.35">
      <c r="D108" s="139" t="s">
        <v>49</v>
      </c>
      <c r="E108" s="139" t="s">
        <v>51</v>
      </c>
      <c r="F108" s="166" t="e">
        <f>#REF!</f>
        <v>#REF!</v>
      </c>
      <c r="G108" s="166" t="e">
        <f>#REF!</f>
        <v>#REF!</v>
      </c>
      <c r="H108" s="166" t="e">
        <f>#REF!</f>
        <v>#REF!</v>
      </c>
    </row>
    <row r="109" spans="4:8" x14ac:dyDescent="0.35">
      <c r="D109" s="139" t="s">
        <v>49</v>
      </c>
      <c r="E109" s="139" t="s">
        <v>18</v>
      </c>
      <c r="F109" s="166">
        <f>H30</f>
        <v>0</v>
      </c>
      <c r="G109" s="166">
        <f>O30</f>
        <v>0</v>
      </c>
      <c r="H109" s="166">
        <v>0</v>
      </c>
    </row>
    <row r="110" spans="4:8" x14ac:dyDescent="0.35">
      <c r="D110" s="139" t="s">
        <v>49</v>
      </c>
      <c r="E110" s="139" t="s">
        <v>50</v>
      </c>
      <c r="F110" s="166" t="e">
        <f>#REF!+#REF!</f>
        <v>#REF!</v>
      </c>
      <c r="G110" s="166" t="e">
        <f>#REF!</f>
        <v>#REF!</v>
      </c>
      <c r="H110" s="166" t="e">
        <f>#REF!+#REF!</f>
        <v>#REF!</v>
      </c>
    </row>
    <row r="111" spans="4:8" x14ac:dyDescent="0.35">
      <c r="D111" s="167" t="s">
        <v>45</v>
      </c>
      <c r="E111" s="167"/>
      <c r="F111" s="168" t="e">
        <f>SUM(F108:F110)</f>
        <v>#REF!</v>
      </c>
      <c r="G111" s="168" t="e">
        <f>SUM(G108:G110)</f>
        <v>#REF!</v>
      </c>
      <c r="H111" s="168" t="e">
        <f>SUM(H108:H110)</f>
        <v>#REF!</v>
      </c>
    </row>
    <row r="112" spans="4:8" x14ac:dyDescent="0.35">
      <c r="D112" s="158" t="s">
        <v>42</v>
      </c>
      <c r="E112" s="158" t="s">
        <v>43</v>
      </c>
      <c r="F112" s="169" t="s">
        <v>79</v>
      </c>
      <c r="G112" s="169" t="s">
        <v>80</v>
      </c>
      <c r="H112" s="169" t="s">
        <v>81</v>
      </c>
    </row>
    <row r="113" spans="4:8" x14ac:dyDescent="0.35">
      <c r="D113" s="139" t="s">
        <v>52</v>
      </c>
      <c r="E113" s="139" t="s">
        <v>53</v>
      </c>
      <c r="F113" s="166">
        <f>H23</f>
        <v>0</v>
      </c>
      <c r="G113" s="166">
        <f>O23</f>
        <v>0</v>
      </c>
      <c r="H113" s="166">
        <f>I23</f>
        <v>0</v>
      </c>
    </row>
    <row r="114" spans="4:8" x14ac:dyDescent="0.35">
      <c r="D114" s="167" t="s">
        <v>45</v>
      </c>
      <c r="E114" s="167"/>
      <c r="F114" s="168">
        <f>SUM(F113)</f>
        <v>0</v>
      </c>
      <c r="G114" s="168">
        <f t="shared" ref="G114" si="16">SUM(G113)</f>
        <v>0</v>
      </c>
      <c r="H114" s="168">
        <f>SUM(H113)</f>
        <v>0</v>
      </c>
    </row>
    <row r="115" spans="4:8" x14ac:dyDescent="0.35">
      <c r="D115" s="158" t="s">
        <v>42</v>
      </c>
      <c r="E115" s="158" t="s">
        <v>43</v>
      </c>
      <c r="F115" s="169" t="s">
        <v>79</v>
      </c>
      <c r="G115" s="169" t="s">
        <v>80</v>
      </c>
      <c r="H115" s="169" t="s">
        <v>81</v>
      </c>
    </row>
    <row r="116" spans="4:8" x14ac:dyDescent="0.35">
      <c r="D116" s="139" t="s">
        <v>54</v>
      </c>
      <c r="E116" s="139" t="s">
        <v>53</v>
      </c>
      <c r="F116" s="166">
        <f>H26</f>
        <v>0</v>
      </c>
      <c r="G116" s="166">
        <f>O26</f>
        <v>0</v>
      </c>
      <c r="H116" s="166">
        <f>I26</f>
        <v>0</v>
      </c>
    </row>
    <row r="117" spans="4:8" x14ac:dyDescent="0.35">
      <c r="D117" s="139" t="s">
        <v>54</v>
      </c>
      <c r="E117" s="139" t="s">
        <v>18</v>
      </c>
      <c r="F117" s="166">
        <f>H27</f>
        <v>0</v>
      </c>
      <c r="G117" s="166">
        <f>O27</f>
        <v>0</v>
      </c>
      <c r="H117" s="166">
        <f>I27</f>
        <v>0</v>
      </c>
    </row>
    <row r="118" spans="4:8" x14ac:dyDescent="0.35">
      <c r="D118" s="167" t="s">
        <v>45</v>
      </c>
      <c r="E118" s="167"/>
      <c r="F118" s="168">
        <f>SUM(F116:F117)</f>
        <v>0</v>
      </c>
      <c r="G118" s="168">
        <f t="shared" ref="G118" si="17">SUM(G116:G117)</f>
        <v>0</v>
      </c>
      <c r="H118" s="168">
        <f>SUM(H116:H117)</f>
        <v>0</v>
      </c>
    </row>
    <row r="119" spans="4:8" x14ac:dyDescent="0.35">
      <c r="D119" s="170"/>
      <c r="E119" s="170"/>
      <c r="F119" s="171" t="e">
        <f>F118+F114+F111+F106+F101</f>
        <v>#REF!</v>
      </c>
      <c r="G119" s="171" t="e">
        <f t="shared" ref="G119" si="18">G118+G114+G111+G106+G101</f>
        <v>#REF!</v>
      </c>
      <c r="H119" s="171" t="e">
        <f>H118+H114+H111+H106+H101</f>
        <v>#REF!</v>
      </c>
    </row>
  </sheetData>
  <mergeCells count="43">
    <mergeCell ref="D72:E72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60:E60"/>
    <mergeCell ref="K49:L49"/>
    <mergeCell ref="M49:O49"/>
    <mergeCell ref="H50:J50"/>
    <mergeCell ref="K50:K51"/>
    <mergeCell ref="C53:E53"/>
    <mergeCell ref="C54:E54"/>
    <mergeCell ref="D55:E55"/>
    <mergeCell ref="D56:E56"/>
    <mergeCell ref="D57:E57"/>
    <mergeCell ref="D58:E58"/>
    <mergeCell ref="D59:E59"/>
    <mergeCell ref="K46:L46"/>
    <mergeCell ref="M46:O46"/>
    <mergeCell ref="K47:L47"/>
    <mergeCell ref="M47:O47"/>
    <mergeCell ref="K48:L48"/>
    <mergeCell ref="M48:O48"/>
    <mergeCell ref="M45:O45"/>
    <mergeCell ref="C2:O2"/>
    <mergeCell ref="C3:O3"/>
    <mergeCell ref="H35:I35"/>
    <mergeCell ref="K36:L36"/>
    <mergeCell ref="M36:O36"/>
    <mergeCell ref="C37:D37"/>
    <mergeCell ref="K37:L37"/>
    <mergeCell ref="K38:L38"/>
    <mergeCell ref="K39:L39"/>
    <mergeCell ref="K40:L40"/>
    <mergeCell ref="K41:L41"/>
    <mergeCell ref="K45:L4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6"/>
  <sheetViews>
    <sheetView topLeftCell="A43" zoomScale="56" zoomScaleNormal="56" workbookViewId="0">
      <selection sqref="A1:XFD1048576"/>
    </sheetView>
  </sheetViews>
  <sheetFormatPr defaultRowHeight="23.25" x14ac:dyDescent="0.35"/>
  <cols>
    <col min="1" max="1" width="5.5703125" style="104" customWidth="1"/>
    <col min="2" max="2" width="0.140625" style="104" hidden="1" customWidth="1"/>
    <col min="3" max="3" width="20.85546875" style="104" customWidth="1"/>
    <col min="4" max="4" width="26.42578125" style="104" customWidth="1"/>
    <col min="5" max="5" width="18.140625" style="104" customWidth="1"/>
    <col min="6" max="6" width="32.28515625" style="104" bestFit="1" customWidth="1"/>
    <col min="7" max="7" width="26.42578125" style="104" customWidth="1"/>
    <col min="8" max="8" width="22.85546875" style="104" customWidth="1"/>
    <col min="9" max="9" width="23.5703125" style="104" customWidth="1"/>
    <col min="10" max="10" width="26.5703125" style="104" bestFit="1" customWidth="1"/>
    <col min="11" max="11" width="23.7109375" style="104" customWidth="1"/>
    <col min="12" max="12" width="22.5703125" style="104" customWidth="1"/>
    <col min="13" max="13" width="26.42578125" style="104" customWidth="1"/>
    <col min="14" max="14" width="17.5703125" style="104" customWidth="1"/>
    <col min="15" max="15" width="22" style="104" customWidth="1"/>
    <col min="16" max="16" width="7.5703125" style="104" customWidth="1"/>
    <col min="17" max="17" width="14.28515625" style="104" bestFit="1" customWidth="1"/>
    <col min="18" max="18" width="11.42578125" style="104" customWidth="1"/>
    <col min="19" max="16384" width="9.140625" style="104"/>
  </cols>
  <sheetData>
    <row r="2" spans="1:16" x14ac:dyDescent="0.35">
      <c r="C2" s="246">
        <v>46106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8"/>
    </row>
    <row r="3" spans="1:16" x14ac:dyDescent="0.35">
      <c r="C3" s="249" t="s">
        <v>0</v>
      </c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6" ht="93" x14ac:dyDescent="0.35">
      <c r="A4" s="181"/>
      <c r="C4" s="106" t="s">
        <v>1</v>
      </c>
      <c r="D4" s="106" t="s">
        <v>2</v>
      </c>
      <c r="E4" s="106" t="s">
        <v>3</v>
      </c>
      <c r="F4" s="106" t="s">
        <v>4</v>
      </c>
      <c r="G4" s="106" t="s">
        <v>5</v>
      </c>
      <c r="H4" s="106" t="s">
        <v>6</v>
      </c>
      <c r="I4" s="106" t="s">
        <v>7</v>
      </c>
      <c r="J4" s="106" t="s">
        <v>8</v>
      </c>
      <c r="K4" s="107" t="s">
        <v>9</v>
      </c>
      <c r="L4" s="107" t="s">
        <v>10</v>
      </c>
      <c r="M4" s="108" t="s">
        <v>11</v>
      </c>
      <c r="N4" s="109" t="s">
        <v>12</v>
      </c>
      <c r="O4" s="106" t="s">
        <v>13</v>
      </c>
    </row>
    <row r="5" spans="1:16" x14ac:dyDescent="0.35">
      <c r="A5" s="110"/>
      <c r="C5" s="111" t="s">
        <v>14</v>
      </c>
      <c r="D5" s="112" t="s">
        <v>15</v>
      </c>
      <c r="E5" s="113" t="s">
        <v>100</v>
      </c>
      <c r="F5" s="114">
        <v>100426</v>
      </c>
      <c r="G5" s="114">
        <v>1484</v>
      </c>
      <c r="H5" s="115">
        <f>F5-G5</f>
        <v>98942</v>
      </c>
      <c r="I5" s="115">
        <f>H5-J5</f>
        <v>43530</v>
      </c>
      <c r="J5" s="116">
        <v>55412</v>
      </c>
      <c r="K5" s="117">
        <v>0</v>
      </c>
      <c r="L5" s="116">
        <v>0</v>
      </c>
      <c r="M5" s="114">
        <f>'24-03-2026'!J52</f>
        <v>372270</v>
      </c>
      <c r="N5" s="117">
        <v>0</v>
      </c>
      <c r="O5" s="118">
        <v>0</v>
      </c>
      <c r="P5" s="119"/>
    </row>
    <row r="6" spans="1:16" x14ac:dyDescent="0.35">
      <c r="A6" s="110"/>
      <c r="C6" s="111" t="s">
        <v>14</v>
      </c>
      <c r="D6" s="112" t="s">
        <v>17</v>
      </c>
      <c r="E6" s="113" t="s">
        <v>98</v>
      </c>
      <c r="F6" s="114">
        <v>0</v>
      </c>
      <c r="G6" s="114">
        <v>0</v>
      </c>
      <c r="H6" s="115">
        <f t="shared" ref="H6:H10" si="0">F6-G6</f>
        <v>0</v>
      </c>
      <c r="I6" s="115">
        <f t="shared" ref="I6:I10" si="1">H6-J6</f>
        <v>0</v>
      </c>
      <c r="J6" s="116">
        <v>0</v>
      </c>
      <c r="K6" s="117">
        <v>0</v>
      </c>
      <c r="L6" s="116">
        <v>0</v>
      </c>
      <c r="M6" s="114">
        <f>'24-03-2026'!J53</f>
        <v>3257215</v>
      </c>
      <c r="N6" s="117">
        <v>0</v>
      </c>
      <c r="O6" s="118">
        <v>0</v>
      </c>
    </row>
    <row r="7" spans="1:16" x14ac:dyDescent="0.35">
      <c r="A7" s="110"/>
      <c r="C7" s="111" t="s">
        <v>14</v>
      </c>
      <c r="D7" s="112" t="s">
        <v>18</v>
      </c>
      <c r="E7" s="113" t="s">
        <v>98</v>
      </c>
      <c r="F7" s="114">
        <v>116846</v>
      </c>
      <c r="G7" s="114">
        <v>2191</v>
      </c>
      <c r="H7" s="115">
        <f t="shared" si="0"/>
        <v>114655</v>
      </c>
      <c r="I7" s="115">
        <f t="shared" si="1"/>
        <v>98236</v>
      </c>
      <c r="J7" s="116">
        <v>16419</v>
      </c>
      <c r="K7" s="117">
        <v>0</v>
      </c>
      <c r="L7" s="116">
        <v>0</v>
      </c>
      <c r="M7" s="114">
        <f>'24-03-2026'!J54</f>
        <v>1800841</v>
      </c>
      <c r="N7" s="117">
        <v>0</v>
      </c>
      <c r="O7" s="118">
        <v>141986</v>
      </c>
    </row>
    <row r="8" spans="1:16" x14ac:dyDescent="0.35">
      <c r="A8" s="110"/>
      <c r="C8" s="111" t="s">
        <v>14</v>
      </c>
      <c r="D8" s="112" t="s">
        <v>19</v>
      </c>
      <c r="E8" s="113" t="s">
        <v>86</v>
      </c>
      <c r="F8" s="114">
        <v>103257</v>
      </c>
      <c r="G8" s="114">
        <v>0</v>
      </c>
      <c r="H8" s="115">
        <f t="shared" si="0"/>
        <v>103257</v>
      </c>
      <c r="I8" s="115">
        <f t="shared" si="1"/>
        <v>48134</v>
      </c>
      <c r="J8" s="116">
        <v>55123</v>
      </c>
      <c r="K8" s="117">
        <v>0</v>
      </c>
      <c r="L8" s="116">
        <v>0</v>
      </c>
      <c r="M8" s="114">
        <f>'24-03-2026'!J55</f>
        <v>1311552</v>
      </c>
      <c r="N8" s="117">
        <v>0</v>
      </c>
      <c r="O8" s="118">
        <v>63687</v>
      </c>
    </row>
    <row r="9" spans="1:16" x14ac:dyDescent="0.35">
      <c r="A9" s="110"/>
      <c r="C9" s="111" t="s">
        <v>14</v>
      </c>
      <c r="D9" s="112" t="s">
        <v>20</v>
      </c>
      <c r="E9" s="113" t="s">
        <v>100</v>
      </c>
      <c r="F9" s="114">
        <v>59675</v>
      </c>
      <c r="G9" s="114">
        <v>265</v>
      </c>
      <c r="H9" s="115">
        <f t="shared" si="0"/>
        <v>59410</v>
      </c>
      <c r="I9" s="115">
        <f t="shared" si="1"/>
        <v>26783</v>
      </c>
      <c r="J9" s="116">
        <v>32627</v>
      </c>
      <c r="K9" s="117">
        <v>0</v>
      </c>
      <c r="L9" s="116">
        <v>1000</v>
      </c>
      <c r="M9" s="114">
        <f>'24-03-2026'!J56</f>
        <v>1341793</v>
      </c>
      <c r="N9" s="117">
        <v>0</v>
      </c>
      <c r="O9" s="118">
        <v>41950</v>
      </c>
    </row>
    <row r="10" spans="1:16" x14ac:dyDescent="0.35">
      <c r="A10" s="110"/>
      <c r="C10" s="111" t="s">
        <v>14</v>
      </c>
      <c r="D10" s="112" t="s">
        <v>21</v>
      </c>
      <c r="E10" s="113" t="s">
        <v>98</v>
      </c>
      <c r="F10" s="114">
        <v>49462</v>
      </c>
      <c r="G10" s="114">
        <v>1033</v>
      </c>
      <c r="H10" s="115">
        <f t="shared" si="0"/>
        <v>48429</v>
      </c>
      <c r="I10" s="115">
        <f t="shared" si="1"/>
        <v>31258</v>
      </c>
      <c r="J10" s="116">
        <v>17171</v>
      </c>
      <c r="K10" s="117">
        <v>0</v>
      </c>
      <c r="L10" s="116">
        <v>0</v>
      </c>
      <c r="M10" s="114">
        <f>'24-03-2026'!J57</f>
        <v>740022</v>
      </c>
      <c r="N10" s="117">
        <v>0</v>
      </c>
      <c r="O10" s="118">
        <v>79652</v>
      </c>
    </row>
    <row r="11" spans="1:16" x14ac:dyDescent="0.35">
      <c r="A11" s="120"/>
      <c r="C11" s="106" t="s">
        <v>22</v>
      </c>
      <c r="D11" s="106"/>
      <c r="E11" s="106"/>
      <c r="F11" s="121">
        <f t="shared" ref="F11:O11" si="2">SUM(F5:F10)</f>
        <v>429666</v>
      </c>
      <c r="G11" s="121">
        <f t="shared" si="2"/>
        <v>4973</v>
      </c>
      <c r="H11" s="121">
        <f t="shared" si="2"/>
        <v>424693</v>
      </c>
      <c r="I11" s="121">
        <f t="shared" si="2"/>
        <v>247941</v>
      </c>
      <c r="J11" s="121">
        <f>SUM(J5:J10)</f>
        <v>176752</v>
      </c>
      <c r="K11" s="121">
        <f t="shared" si="2"/>
        <v>0</v>
      </c>
      <c r="L11" s="121">
        <f t="shared" si="2"/>
        <v>1000</v>
      </c>
      <c r="M11" s="173">
        <f t="shared" si="2"/>
        <v>8823693</v>
      </c>
      <c r="N11" s="121">
        <f t="shared" si="2"/>
        <v>0</v>
      </c>
      <c r="O11" s="121">
        <f t="shared" si="2"/>
        <v>327275</v>
      </c>
    </row>
    <row r="12" spans="1:16" x14ac:dyDescent="0.35">
      <c r="C12" s="111" t="s">
        <v>23</v>
      </c>
      <c r="D12" s="112" t="s">
        <v>24</v>
      </c>
      <c r="E12" s="113" t="s">
        <v>85</v>
      </c>
      <c r="F12" s="114">
        <v>86633</v>
      </c>
      <c r="G12" s="114">
        <v>7734</v>
      </c>
      <c r="H12" s="115">
        <f t="shared" ref="H12:H29" si="3">F12-G12</f>
        <v>78899</v>
      </c>
      <c r="I12" s="115">
        <f t="shared" ref="I12:I29" si="4">H12-J12</f>
        <v>32667</v>
      </c>
      <c r="J12" s="116">
        <v>46232</v>
      </c>
      <c r="K12" s="117">
        <v>0</v>
      </c>
      <c r="L12" s="116">
        <v>0</v>
      </c>
      <c r="M12" s="114">
        <f>'24-03-2026'!J61</f>
        <v>430616</v>
      </c>
      <c r="N12" s="117">
        <v>0</v>
      </c>
      <c r="O12" s="116">
        <v>41346</v>
      </c>
    </row>
    <row r="13" spans="1:16" x14ac:dyDescent="0.35">
      <c r="C13" s="111" t="s">
        <v>23</v>
      </c>
      <c r="D13" s="112" t="s">
        <v>25</v>
      </c>
      <c r="E13" s="113" t="s">
        <v>85</v>
      </c>
      <c r="F13" s="114">
        <v>137580</v>
      </c>
      <c r="G13" s="114">
        <v>0</v>
      </c>
      <c r="H13" s="115">
        <f t="shared" si="3"/>
        <v>137580</v>
      </c>
      <c r="I13" s="115">
        <f t="shared" si="4"/>
        <v>137580</v>
      </c>
      <c r="J13" s="116">
        <v>0</v>
      </c>
      <c r="K13" s="117">
        <v>0</v>
      </c>
      <c r="L13" s="116">
        <v>9042</v>
      </c>
      <c r="M13" s="114">
        <f>'24-03-2026'!J62</f>
        <v>1896459</v>
      </c>
      <c r="N13" s="117">
        <v>14522</v>
      </c>
      <c r="O13" s="116">
        <v>353214</v>
      </c>
    </row>
    <row r="14" spans="1:16" x14ac:dyDescent="0.35">
      <c r="C14" s="111" t="s">
        <v>23</v>
      </c>
      <c r="D14" s="112" t="s">
        <v>26</v>
      </c>
      <c r="E14" s="113" t="s">
        <v>15</v>
      </c>
      <c r="F14" s="114">
        <v>0</v>
      </c>
      <c r="G14" s="114">
        <v>0</v>
      </c>
      <c r="H14" s="115">
        <f t="shared" si="3"/>
        <v>0</v>
      </c>
      <c r="I14" s="115">
        <f t="shared" si="4"/>
        <v>0</v>
      </c>
      <c r="J14" s="116">
        <v>0</v>
      </c>
      <c r="K14" s="117">
        <v>0</v>
      </c>
      <c r="L14" s="116">
        <v>0</v>
      </c>
      <c r="M14" s="114">
        <f>'24-03-2026'!J63</f>
        <v>379215</v>
      </c>
      <c r="N14" s="117">
        <v>0</v>
      </c>
      <c r="O14" s="116">
        <v>0</v>
      </c>
    </row>
    <row r="15" spans="1:16" x14ac:dyDescent="0.35">
      <c r="C15" s="111" t="s">
        <v>23</v>
      </c>
      <c r="D15" s="112" t="s">
        <v>20</v>
      </c>
      <c r="E15" s="113" t="s">
        <v>97</v>
      </c>
      <c r="F15" s="114">
        <v>0</v>
      </c>
      <c r="G15" s="114">
        <v>0</v>
      </c>
      <c r="H15" s="115">
        <f t="shared" si="3"/>
        <v>0</v>
      </c>
      <c r="I15" s="115">
        <f t="shared" si="4"/>
        <v>0</v>
      </c>
      <c r="J15" s="116">
        <v>0</v>
      </c>
      <c r="K15" s="117">
        <v>0</v>
      </c>
      <c r="L15" s="116">
        <v>0</v>
      </c>
      <c r="M15" s="114">
        <v>0</v>
      </c>
      <c r="N15" s="117">
        <v>0</v>
      </c>
      <c r="O15" s="116">
        <v>0</v>
      </c>
    </row>
    <row r="16" spans="1:16" x14ac:dyDescent="0.35">
      <c r="C16" s="111" t="s">
        <v>23</v>
      </c>
      <c r="D16" s="112" t="s">
        <v>18</v>
      </c>
      <c r="E16" s="113" t="s">
        <v>97</v>
      </c>
      <c r="F16" s="114">
        <v>0</v>
      </c>
      <c r="G16" s="114">
        <v>0</v>
      </c>
      <c r="H16" s="115">
        <f t="shared" si="3"/>
        <v>0</v>
      </c>
      <c r="I16" s="115">
        <f t="shared" si="4"/>
        <v>0</v>
      </c>
      <c r="J16" s="116">
        <v>0</v>
      </c>
      <c r="K16" s="117">
        <v>0</v>
      </c>
      <c r="L16" s="116">
        <v>0</v>
      </c>
      <c r="M16" s="114">
        <v>0</v>
      </c>
      <c r="N16" s="117">
        <v>0</v>
      </c>
      <c r="O16" s="116">
        <v>0</v>
      </c>
    </row>
    <row r="17" spans="3:15" x14ac:dyDescent="0.35">
      <c r="C17" s="111" t="s">
        <v>23</v>
      </c>
      <c r="D17" s="106"/>
      <c r="E17" s="106"/>
      <c r="F17" s="121">
        <f>SUM(F12:F16)</f>
        <v>224213</v>
      </c>
      <c r="G17" s="121">
        <f>SUM(G12:G16)</f>
        <v>7734</v>
      </c>
      <c r="H17" s="121">
        <f>SUM(H12:H15)</f>
        <v>216479</v>
      </c>
      <c r="I17" s="121">
        <f>SUM(I12:I15)</f>
        <v>170247</v>
      </c>
      <c r="J17" s="121">
        <f>SUM(J12:J16)</f>
        <v>46232</v>
      </c>
      <c r="K17" s="121">
        <f>SUM(K12:K15)</f>
        <v>0</v>
      </c>
      <c r="L17" s="121">
        <f>SUM(L12:L15)</f>
        <v>9042</v>
      </c>
      <c r="M17" s="121">
        <f>SUM(M12:M16)</f>
        <v>2706290</v>
      </c>
      <c r="N17" s="121">
        <f>SUM(N12:N15)</f>
        <v>14522</v>
      </c>
      <c r="O17" s="121">
        <f>SUM(O12:O16)</f>
        <v>394560</v>
      </c>
    </row>
    <row r="18" spans="3:15" x14ac:dyDescent="0.35">
      <c r="C18" s="111" t="s">
        <v>27</v>
      </c>
      <c r="D18" s="112" t="s">
        <v>25</v>
      </c>
      <c r="E18" s="113" t="s">
        <v>16</v>
      </c>
      <c r="F18" s="114">
        <v>0</v>
      </c>
      <c r="G18" s="114">
        <v>0</v>
      </c>
      <c r="H18" s="115">
        <f t="shared" si="3"/>
        <v>0</v>
      </c>
      <c r="I18" s="115">
        <f t="shared" si="4"/>
        <v>0</v>
      </c>
      <c r="J18" s="116">
        <v>0</v>
      </c>
      <c r="K18" s="117">
        <v>0</v>
      </c>
      <c r="L18" s="116">
        <v>0</v>
      </c>
      <c r="M18" s="114">
        <f>'24-03-2026'!J65</f>
        <v>51257</v>
      </c>
      <c r="N18" s="117">
        <v>0</v>
      </c>
      <c r="O18" s="116">
        <v>0</v>
      </c>
    </row>
    <row r="19" spans="3:15" x14ac:dyDescent="0.35">
      <c r="C19" s="106"/>
      <c r="D19" s="106"/>
      <c r="E19" s="106"/>
      <c r="F19" s="121">
        <f>SUM(F18)</f>
        <v>0</v>
      </c>
      <c r="G19" s="121">
        <f t="shared" ref="G19:O19" si="5">SUM(G18)</f>
        <v>0</v>
      </c>
      <c r="H19" s="121">
        <f t="shared" si="5"/>
        <v>0</v>
      </c>
      <c r="I19" s="121">
        <f t="shared" si="5"/>
        <v>0</v>
      </c>
      <c r="J19" s="121">
        <f t="shared" si="5"/>
        <v>0</v>
      </c>
      <c r="K19" s="121">
        <f t="shared" si="5"/>
        <v>0</v>
      </c>
      <c r="L19" s="121">
        <f t="shared" si="5"/>
        <v>0</v>
      </c>
      <c r="M19" s="121">
        <f>SUM(M18)</f>
        <v>51257</v>
      </c>
      <c r="N19" s="121">
        <f t="shared" si="5"/>
        <v>0</v>
      </c>
      <c r="O19" s="121">
        <f t="shared" si="5"/>
        <v>0</v>
      </c>
    </row>
    <row r="20" spans="3:15" x14ac:dyDescent="0.35">
      <c r="C20" s="111" t="s">
        <v>28</v>
      </c>
      <c r="D20" s="112" t="s">
        <v>29</v>
      </c>
      <c r="E20" s="113" t="s">
        <v>16</v>
      </c>
      <c r="F20" s="114">
        <v>0</v>
      </c>
      <c r="G20" s="114">
        <v>0</v>
      </c>
      <c r="H20" s="115">
        <f t="shared" si="3"/>
        <v>0</v>
      </c>
      <c r="I20" s="115">
        <f t="shared" si="4"/>
        <v>0</v>
      </c>
      <c r="J20" s="116">
        <v>0</v>
      </c>
      <c r="K20" s="117">
        <v>0</v>
      </c>
      <c r="L20" s="116">
        <v>0</v>
      </c>
      <c r="M20" s="114">
        <f>'24-03-2026'!J76</f>
        <v>33969</v>
      </c>
      <c r="N20" s="117">
        <v>0</v>
      </c>
      <c r="O20" s="116">
        <v>0</v>
      </c>
    </row>
    <row r="21" spans="3:15" x14ac:dyDescent="0.35">
      <c r="C21" s="111" t="s">
        <v>28</v>
      </c>
      <c r="D21" s="112" t="s">
        <v>25</v>
      </c>
      <c r="E21" s="113" t="s">
        <v>16</v>
      </c>
      <c r="F21" s="114">
        <v>0</v>
      </c>
      <c r="G21" s="114">
        <v>0</v>
      </c>
      <c r="H21" s="115">
        <f t="shared" si="3"/>
        <v>0</v>
      </c>
      <c r="I21" s="115">
        <f t="shared" si="4"/>
        <v>0</v>
      </c>
      <c r="J21" s="116">
        <v>0</v>
      </c>
      <c r="K21" s="117">
        <v>0</v>
      </c>
      <c r="L21" s="116">
        <v>0</v>
      </c>
      <c r="M21" s="114">
        <f>'24-03-2026'!J77</f>
        <v>151366</v>
      </c>
      <c r="N21" s="117">
        <v>0</v>
      </c>
      <c r="O21" s="116">
        <v>0</v>
      </c>
    </row>
    <row r="22" spans="3:15" x14ac:dyDescent="0.35">
      <c r="C22" s="106" t="s">
        <v>22</v>
      </c>
      <c r="D22" s="106"/>
      <c r="E22" s="106"/>
      <c r="F22" s="121">
        <f t="shared" ref="F22:L22" si="6">SUM(F20:F21)</f>
        <v>0</v>
      </c>
      <c r="G22" s="121">
        <f t="shared" si="6"/>
        <v>0</v>
      </c>
      <c r="H22" s="121">
        <f t="shared" si="6"/>
        <v>0</v>
      </c>
      <c r="I22" s="121">
        <f t="shared" si="6"/>
        <v>0</v>
      </c>
      <c r="J22" s="121">
        <f t="shared" si="6"/>
        <v>0</v>
      </c>
      <c r="K22" s="121">
        <f>SUM(K20:K21)</f>
        <v>0</v>
      </c>
      <c r="L22" s="121">
        <f t="shared" si="6"/>
        <v>0</v>
      </c>
      <c r="M22" s="121">
        <f>SUM(M20:M21)</f>
        <v>185335</v>
      </c>
      <c r="N22" s="121">
        <f t="shared" ref="N22:O22" si="7">SUM(N20:N21)</f>
        <v>0</v>
      </c>
      <c r="O22" s="121">
        <f t="shared" si="7"/>
        <v>0</v>
      </c>
    </row>
    <row r="23" spans="3:15" x14ac:dyDescent="0.35">
      <c r="C23" s="111" t="s">
        <v>30</v>
      </c>
      <c r="D23" s="112" t="s">
        <v>29</v>
      </c>
      <c r="E23" s="113" t="s">
        <v>16</v>
      </c>
      <c r="F23" s="122">
        <v>0</v>
      </c>
      <c r="G23" s="122">
        <v>0</v>
      </c>
      <c r="H23" s="115">
        <f t="shared" si="3"/>
        <v>0</v>
      </c>
      <c r="I23" s="115">
        <f t="shared" si="4"/>
        <v>0</v>
      </c>
      <c r="J23" s="123">
        <v>0</v>
      </c>
      <c r="K23" s="124">
        <v>0</v>
      </c>
      <c r="L23" s="123">
        <v>0</v>
      </c>
      <c r="M23" s="122">
        <f>'24-03-2026'!J80</f>
        <v>89658</v>
      </c>
      <c r="N23" s="124">
        <v>0</v>
      </c>
      <c r="O23" s="123">
        <v>0</v>
      </c>
    </row>
    <row r="24" spans="3:15" x14ac:dyDescent="0.35">
      <c r="C24" s="111" t="s">
        <v>30</v>
      </c>
      <c r="D24" s="112" t="s">
        <v>31</v>
      </c>
      <c r="E24" s="113" t="s">
        <v>16</v>
      </c>
      <c r="F24" s="122">
        <v>0</v>
      </c>
      <c r="G24" s="122">
        <v>0</v>
      </c>
      <c r="H24" s="115">
        <f t="shared" si="3"/>
        <v>0</v>
      </c>
      <c r="I24" s="115">
        <f t="shared" si="4"/>
        <v>0</v>
      </c>
      <c r="J24" s="123">
        <v>0</v>
      </c>
      <c r="K24" s="124">
        <v>0</v>
      </c>
      <c r="L24" s="123">
        <v>0</v>
      </c>
      <c r="M24" s="122">
        <f>'24-03-2026'!J81</f>
        <v>17000</v>
      </c>
      <c r="N24" s="124">
        <v>0</v>
      </c>
      <c r="O24" s="123">
        <v>0</v>
      </c>
    </row>
    <row r="25" spans="3:15" x14ac:dyDescent="0.35">
      <c r="C25" s="106" t="s">
        <v>22</v>
      </c>
      <c r="D25" s="106"/>
      <c r="E25" s="106"/>
      <c r="F25" s="121">
        <f>SUM(F23:F24)</f>
        <v>0</v>
      </c>
      <c r="G25" s="121">
        <f t="shared" ref="G25:O25" si="8">SUM(G23:G24)</f>
        <v>0</v>
      </c>
      <c r="H25" s="121">
        <f t="shared" si="8"/>
        <v>0</v>
      </c>
      <c r="I25" s="121">
        <f t="shared" si="8"/>
        <v>0</v>
      </c>
      <c r="J25" s="121">
        <f t="shared" si="8"/>
        <v>0</v>
      </c>
      <c r="K25" s="121">
        <f t="shared" si="8"/>
        <v>0</v>
      </c>
      <c r="L25" s="121">
        <f t="shared" si="8"/>
        <v>0</v>
      </c>
      <c r="M25" s="121">
        <f t="shared" si="8"/>
        <v>106658</v>
      </c>
      <c r="N25" s="121">
        <f t="shared" si="8"/>
        <v>0</v>
      </c>
      <c r="O25" s="121">
        <f t="shared" si="8"/>
        <v>0</v>
      </c>
    </row>
    <row r="26" spans="3:15" x14ac:dyDescent="0.35">
      <c r="C26" s="111" t="s">
        <v>32</v>
      </c>
      <c r="D26" s="112" t="s">
        <v>33</v>
      </c>
      <c r="E26" s="113" t="s">
        <v>100</v>
      </c>
      <c r="F26" s="125">
        <v>40311</v>
      </c>
      <c r="G26" s="114">
        <v>0</v>
      </c>
      <c r="H26" s="115">
        <f t="shared" si="3"/>
        <v>40311</v>
      </c>
      <c r="I26" s="115">
        <f t="shared" si="4"/>
        <v>3779</v>
      </c>
      <c r="J26" s="116">
        <v>36532</v>
      </c>
      <c r="K26" s="117">
        <v>0</v>
      </c>
      <c r="L26" s="116">
        <v>0</v>
      </c>
      <c r="M26" s="114">
        <f>'24-03-2026'!J68</f>
        <v>1642272</v>
      </c>
      <c r="N26" s="117">
        <v>0</v>
      </c>
      <c r="O26" s="116">
        <v>28012</v>
      </c>
    </row>
    <row r="27" spans="3:15" x14ac:dyDescent="0.35">
      <c r="C27" s="111" t="s">
        <v>32</v>
      </c>
      <c r="D27" s="112" t="s">
        <v>31</v>
      </c>
      <c r="E27" s="113" t="s">
        <v>16</v>
      </c>
      <c r="F27" s="125">
        <v>0</v>
      </c>
      <c r="G27" s="114">
        <v>0</v>
      </c>
      <c r="H27" s="115">
        <f t="shared" si="3"/>
        <v>0</v>
      </c>
      <c r="I27" s="115">
        <f t="shared" si="4"/>
        <v>0</v>
      </c>
      <c r="J27" s="116">
        <v>0</v>
      </c>
      <c r="K27" s="117">
        <v>0</v>
      </c>
      <c r="L27" s="116">
        <v>0</v>
      </c>
      <c r="M27" s="114">
        <f>'24-03-2026'!J69</f>
        <v>174473</v>
      </c>
      <c r="N27" s="117">
        <v>0</v>
      </c>
      <c r="O27" s="116">
        <v>0</v>
      </c>
    </row>
    <row r="28" spans="3:15" x14ac:dyDescent="0.35">
      <c r="C28" s="111" t="s">
        <v>32</v>
      </c>
      <c r="D28" s="112" t="s">
        <v>26</v>
      </c>
      <c r="E28" s="113" t="s">
        <v>16</v>
      </c>
      <c r="F28" s="125">
        <v>0</v>
      </c>
      <c r="G28" s="114">
        <v>0</v>
      </c>
      <c r="H28" s="115">
        <f t="shared" si="3"/>
        <v>0</v>
      </c>
      <c r="I28" s="115">
        <f t="shared" si="4"/>
        <v>0</v>
      </c>
      <c r="J28" s="116">
        <v>0</v>
      </c>
      <c r="K28" s="117">
        <v>0</v>
      </c>
      <c r="L28" s="116">
        <v>0</v>
      </c>
      <c r="M28" s="114">
        <f>'24-03-2026'!J70</f>
        <v>35126</v>
      </c>
      <c r="N28" s="117">
        <v>0</v>
      </c>
      <c r="O28" s="116">
        <v>0</v>
      </c>
    </row>
    <row r="29" spans="3:15" x14ac:dyDescent="0.35">
      <c r="C29" s="111" t="s">
        <v>32</v>
      </c>
      <c r="D29" s="112" t="s">
        <v>34</v>
      </c>
      <c r="E29" s="113" t="s">
        <v>86</v>
      </c>
      <c r="F29" s="125">
        <v>131655</v>
      </c>
      <c r="G29" s="114">
        <v>0</v>
      </c>
      <c r="H29" s="115">
        <f t="shared" si="3"/>
        <v>131655</v>
      </c>
      <c r="I29" s="115">
        <f t="shared" si="4"/>
        <v>121198</v>
      </c>
      <c r="J29" s="116">
        <v>10457</v>
      </c>
      <c r="K29" s="117">
        <v>0</v>
      </c>
      <c r="L29" s="116">
        <v>0</v>
      </c>
      <c r="M29" s="114">
        <f>'24-03-2026'!J71</f>
        <v>1412152</v>
      </c>
      <c r="N29" s="117">
        <v>0</v>
      </c>
      <c r="O29" s="116">
        <v>37032</v>
      </c>
    </row>
    <row r="30" spans="3:15" x14ac:dyDescent="0.35">
      <c r="C30" s="106" t="s">
        <v>22</v>
      </c>
      <c r="D30" s="106"/>
      <c r="E30" s="106"/>
      <c r="F30" s="121">
        <f t="shared" ref="F30:O30" si="9">SUM(F26:F29)</f>
        <v>171966</v>
      </c>
      <c r="G30" s="121">
        <f t="shared" si="9"/>
        <v>0</v>
      </c>
      <c r="H30" s="121">
        <f t="shared" si="9"/>
        <v>171966</v>
      </c>
      <c r="I30" s="121">
        <f t="shared" si="9"/>
        <v>124977</v>
      </c>
      <c r="J30" s="121">
        <f t="shared" si="9"/>
        <v>46989</v>
      </c>
      <c r="K30" s="121">
        <f t="shared" si="9"/>
        <v>0</v>
      </c>
      <c r="L30" s="121">
        <f t="shared" si="9"/>
        <v>0</v>
      </c>
      <c r="M30" s="121">
        <f t="shared" si="9"/>
        <v>3264023</v>
      </c>
      <c r="N30" s="121">
        <f t="shared" si="9"/>
        <v>0</v>
      </c>
      <c r="O30" s="121">
        <f t="shared" si="9"/>
        <v>65044</v>
      </c>
    </row>
    <row r="31" spans="3:15" x14ac:dyDescent="0.35">
      <c r="C31" s="126" t="s">
        <v>35</v>
      </c>
      <c r="D31" s="126"/>
      <c r="E31" s="126"/>
      <c r="F31" s="127">
        <f t="shared" ref="F31:O31" si="10">F30+F25+F22+F19+F17+F11</f>
        <v>825845</v>
      </c>
      <c r="G31" s="127">
        <f t="shared" si="10"/>
        <v>12707</v>
      </c>
      <c r="H31" s="127">
        <f t="shared" si="10"/>
        <v>813138</v>
      </c>
      <c r="I31" s="127">
        <f t="shared" si="10"/>
        <v>543165</v>
      </c>
      <c r="J31" s="127">
        <f t="shared" si="10"/>
        <v>269973</v>
      </c>
      <c r="K31" s="127">
        <f t="shared" si="10"/>
        <v>0</v>
      </c>
      <c r="L31" s="127">
        <f t="shared" si="10"/>
        <v>10042</v>
      </c>
      <c r="M31" s="127">
        <f t="shared" si="10"/>
        <v>15137256</v>
      </c>
      <c r="N31" s="127">
        <f t="shared" si="10"/>
        <v>14522</v>
      </c>
      <c r="O31" s="127">
        <f t="shared" si="10"/>
        <v>786879</v>
      </c>
    </row>
    <row r="32" spans="3:15" x14ac:dyDescent="0.35">
      <c r="F32" s="128" t="s">
        <v>36</v>
      </c>
      <c r="G32" s="116">
        <f>O11+L11+J11-K11</f>
        <v>505027</v>
      </c>
      <c r="H32" s="252"/>
      <c r="I32" s="253"/>
      <c r="J32" s="129"/>
      <c r="K32" s="130"/>
      <c r="L32" s="130"/>
    </row>
    <row r="33" spans="3:15" x14ac:dyDescent="0.35">
      <c r="F33" s="131" t="s">
        <v>37</v>
      </c>
      <c r="G33" s="116">
        <f>O17+L17+J17-K17+O19+L19+J19-K19</f>
        <v>449834</v>
      </c>
      <c r="H33" s="132"/>
      <c r="I33" s="133" t="s">
        <v>89</v>
      </c>
      <c r="J33" s="133" t="s">
        <v>90</v>
      </c>
      <c r="K33" s="239" t="s">
        <v>88</v>
      </c>
      <c r="L33" s="238"/>
      <c r="M33" s="254" t="s">
        <v>87</v>
      </c>
      <c r="N33" s="255"/>
      <c r="O33" s="256"/>
    </row>
    <row r="34" spans="3:15" x14ac:dyDescent="0.35">
      <c r="C34" s="257" t="s">
        <v>68</v>
      </c>
      <c r="D34" s="258"/>
      <c r="F34" s="134" t="s">
        <v>38</v>
      </c>
      <c r="G34" s="116">
        <f>O22+L22+J22-K22</f>
        <v>0</v>
      </c>
      <c r="H34" s="132"/>
      <c r="I34" s="133"/>
      <c r="J34" s="135"/>
      <c r="K34" s="239"/>
      <c r="L34" s="238"/>
      <c r="M34" s="136"/>
      <c r="N34" s="137"/>
      <c r="O34" s="138"/>
    </row>
    <row r="35" spans="3:15" x14ac:dyDescent="0.35">
      <c r="C35" s="139"/>
      <c r="D35" s="139"/>
      <c r="F35" s="140" t="s">
        <v>30</v>
      </c>
      <c r="G35" s="116">
        <f>O25+L25+J25-K25</f>
        <v>0</v>
      </c>
      <c r="H35" s="132"/>
      <c r="I35" s="141"/>
      <c r="J35" s="135"/>
      <c r="K35" s="239"/>
      <c r="L35" s="238"/>
      <c r="M35" s="136"/>
      <c r="N35" s="137"/>
      <c r="O35" s="138"/>
    </row>
    <row r="36" spans="3:15" x14ac:dyDescent="0.35">
      <c r="C36" s="139"/>
      <c r="D36" s="139"/>
      <c r="F36" s="128" t="s">
        <v>39</v>
      </c>
      <c r="G36" s="116">
        <f>O30+L30+J30-K30</f>
        <v>112033</v>
      </c>
      <c r="H36" s="132"/>
      <c r="I36" s="141"/>
      <c r="J36" s="135"/>
      <c r="K36" s="239"/>
      <c r="L36" s="238"/>
      <c r="M36" s="136"/>
      <c r="N36" s="137"/>
      <c r="O36" s="138"/>
    </row>
    <row r="37" spans="3:15" x14ac:dyDescent="0.35">
      <c r="C37" s="139"/>
      <c r="D37" s="139"/>
      <c r="F37" s="142" t="s">
        <v>40</v>
      </c>
      <c r="G37" s="143">
        <f>SUM(G32:G36)</f>
        <v>1066894</v>
      </c>
      <c r="I37" s="139"/>
      <c r="J37" s="135"/>
      <c r="K37" s="239"/>
      <c r="L37" s="238"/>
      <c r="M37" s="136"/>
      <c r="N37" s="137"/>
      <c r="O37" s="138"/>
    </row>
    <row r="38" spans="3:15" x14ac:dyDescent="0.35">
      <c r="C38" s="139"/>
      <c r="D38" s="139"/>
      <c r="F38" s="144"/>
      <c r="G38" s="145"/>
      <c r="I38" s="139"/>
      <c r="J38" s="135"/>
      <c r="K38" s="239"/>
      <c r="L38" s="238"/>
      <c r="M38" s="136"/>
      <c r="N38" s="137"/>
      <c r="O38" s="138"/>
    </row>
    <row r="39" spans="3:15" x14ac:dyDescent="0.35">
      <c r="C39" s="139"/>
      <c r="D39" s="139"/>
      <c r="F39" s="144"/>
      <c r="G39" s="145"/>
      <c r="I39" s="139"/>
      <c r="J39" s="135"/>
      <c r="K39" s="137"/>
      <c r="L39" s="137"/>
      <c r="M39" s="136"/>
      <c r="N39" s="137"/>
      <c r="O39" s="138"/>
    </row>
    <row r="40" spans="3:15" x14ac:dyDescent="0.35">
      <c r="C40" s="139"/>
      <c r="D40" s="139"/>
      <c r="F40" s="144"/>
      <c r="G40" s="145"/>
      <c r="I40" s="139"/>
      <c r="J40" s="135"/>
      <c r="K40" s="137"/>
      <c r="L40" s="137"/>
      <c r="M40" s="136"/>
      <c r="N40" s="137"/>
      <c r="O40" s="138"/>
    </row>
    <row r="41" spans="3:15" x14ac:dyDescent="0.35">
      <c r="C41" s="139"/>
      <c r="D41" s="139"/>
      <c r="F41" s="144"/>
      <c r="G41" s="145"/>
      <c r="I41" s="139"/>
      <c r="J41" s="135"/>
      <c r="K41" s="137"/>
      <c r="L41" s="137"/>
      <c r="M41" s="136"/>
      <c r="N41" s="137"/>
      <c r="O41" s="138"/>
    </row>
    <row r="42" spans="3:15" x14ac:dyDescent="0.35">
      <c r="C42" s="139"/>
      <c r="D42" s="139"/>
      <c r="F42" s="144"/>
      <c r="G42" s="145"/>
      <c r="I42" s="139"/>
      <c r="J42" s="135"/>
      <c r="K42" s="237"/>
      <c r="L42" s="238"/>
      <c r="M42" s="237"/>
      <c r="N42" s="239"/>
      <c r="O42" s="238"/>
    </row>
    <row r="43" spans="3:15" x14ac:dyDescent="0.35">
      <c r="C43" s="139"/>
      <c r="D43" s="139"/>
      <c r="F43" s="144"/>
      <c r="G43" s="145"/>
      <c r="I43" s="139"/>
      <c r="J43" s="133"/>
      <c r="K43" s="237"/>
      <c r="L43" s="238"/>
      <c r="M43" s="237"/>
      <c r="N43" s="239"/>
      <c r="O43" s="238"/>
    </row>
    <row r="44" spans="3:15" x14ac:dyDescent="0.35">
      <c r="C44" s="139"/>
      <c r="D44" s="139"/>
      <c r="F44" s="144"/>
      <c r="G44" s="145"/>
      <c r="I44" s="139"/>
      <c r="J44" s="133"/>
      <c r="K44" s="237"/>
      <c r="L44" s="238"/>
      <c r="M44" s="237"/>
      <c r="N44" s="239"/>
      <c r="O44" s="238"/>
    </row>
    <row r="45" spans="3:15" x14ac:dyDescent="0.35">
      <c r="C45" s="139"/>
      <c r="D45" s="139"/>
      <c r="F45" s="144"/>
      <c r="G45" s="145"/>
      <c r="I45" s="139"/>
      <c r="J45" s="133"/>
      <c r="K45" s="237"/>
      <c r="L45" s="238"/>
      <c r="M45" s="237"/>
      <c r="N45" s="239"/>
      <c r="O45" s="238"/>
    </row>
    <row r="46" spans="3:15" x14ac:dyDescent="0.35">
      <c r="C46" s="139"/>
      <c r="D46" s="139"/>
      <c r="F46" s="144"/>
      <c r="G46" s="145"/>
      <c r="I46" s="139"/>
      <c r="J46" s="133"/>
      <c r="K46" s="237"/>
      <c r="L46" s="238"/>
      <c r="M46" s="237"/>
      <c r="N46" s="239"/>
      <c r="O46" s="238"/>
    </row>
    <row r="47" spans="3:15" x14ac:dyDescent="0.35">
      <c r="H47" s="240" t="s">
        <v>41</v>
      </c>
      <c r="I47" s="240"/>
      <c r="J47" s="240"/>
      <c r="K47" s="241"/>
      <c r="L47" s="110"/>
      <c r="M47" s="146"/>
    </row>
    <row r="48" spans="3:15" x14ac:dyDescent="0.35">
      <c r="H48" s="147" t="s">
        <v>42</v>
      </c>
      <c r="I48" s="147" t="s">
        <v>43</v>
      </c>
      <c r="J48" s="147" t="s">
        <v>44</v>
      </c>
      <c r="K48" s="241"/>
      <c r="L48" s="146"/>
    </row>
    <row r="49" spans="3:14" x14ac:dyDescent="0.35">
      <c r="F49" s="148"/>
      <c r="H49" s="104" t="s">
        <v>14</v>
      </c>
      <c r="I49" s="104" t="s">
        <v>15</v>
      </c>
      <c r="J49" s="148">
        <f t="shared" ref="J49:J54" si="11">M5-O5-N5-L5+I5</f>
        <v>415800</v>
      </c>
      <c r="K49" s="149">
        <v>415800</v>
      </c>
      <c r="L49" s="150">
        <f>J49-K49</f>
        <v>0</v>
      </c>
      <c r="M49" s="148"/>
    </row>
    <row r="50" spans="3:14" x14ac:dyDescent="0.35">
      <c r="C50" s="242">
        <v>45931</v>
      </c>
      <c r="D50" s="242"/>
      <c r="E50" s="242"/>
      <c r="H50" s="104" t="s">
        <v>14</v>
      </c>
      <c r="I50" s="104" t="s">
        <v>17</v>
      </c>
      <c r="J50" s="148">
        <f t="shared" si="11"/>
        <v>3257215</v>
      </c>
      <c r="K50" s="149">
        <v>3257215</v>
      </c>
      <c r="L50" s="150">
        <f t="shared" ref="L50:L61" si="12">J50-K50</f>
        <v>0</v>
      </c>
      <c r="M50" s="148"/>
    </row>
    <row r="51" spans="3:14" x14ac:dyDescent="0.35">
      <c r="C51" s="243" t="s">
        <v>63</v>
      </c>
      <c r="D51" s="243"/>
      <c r="E51" s="243"/>
      <c r="H51" s="104" t="s">
        <v>14</v>
      </c>
      <c r="I51" s="104" t="s">
        <v>18</v>
      </c>
      <c r="J51" s="148">
        <f t="shared" si="11"/>
        <v>1757091</v>
      </c>
      <c r="K51" s="149">
        <v>1757091</v>
      </c>
      <c r="L51" s="150">
        <f t="shared" si="12"/>
        <v>0</v>
      </c>
      <c r="M51" s="148"/>
    </row>
    <row r="52" spans="3:14" x14ac:dyDescent="0.35">
      <c r="C52" s="139" t="s">
        <v>64</v>
      </c>
      <c r="D52" s="225">
        <f>'Opening Balance FEB 2026'!J4</f>
        <v>1308640</v>
      </c>
      <c r="E52" s="226"/>
      <c r="H52" s="104" t="s">
        <v>14</v>
      </c>
      <c r="I52" s="104" t="s">
        <v>19</v>
      </c>
      <c r="J52" s="148">
        <f t="shared" si="11"/>
        <v>1295999</v>
      </c>
      <c r="K52" s="149">
        <v>1296000</v>
      </c>
      <c r="L52" s="150">
        <f t="shared" si="12"/>
        <v>-1</v>
      </c>
      <c r="M52" s="148"/>
    </row>
    <row r="53" spans="3:14" x14ac:dyDescent="0.35">
      <c r="C53" s="139" t="s">
        <v>65</v>
      </c>
      <c r="D53" s="225">
        <f>G37</f>
        <v>1066894</v>
      </c>
      <c r="E53" s="226"/>
      <c r="H53" s="104" t="s">
        <v>14</v>
      </c>
      <c r="I53" s="104" t="s">
        <v>20</v>
      </c>
      <c r="J53" s="148">
        <f t="shared" si="11"/>
        <v>1325626</v>
      </c>
      <c r="K53" s="149">
        <v>1325626</v>
      </c>
      <c r="L53" s="150">
        <f t="shared" si="12"/>
        <v>0</v>
      </c>
      <c r="M53" s="148"/>
    </row>
    <row r="54" spans="3:14" x14ac:dyDescent="0.35">
      <c r="C54" s="151" t="s">
        <v>45</v>
      </c>
      <c r="D54" s="244">
        <f>D52+D53</f>
        <v>2375534</v>
      </c>
      <c r="E54" s="245"/>
      <c r="H54" s="104" t="s">
        <v>14</v>
      </c>
      <c r="I54" s="104" t="s">
        <v>21</v>
      </c>
      <c r="J54" s="148">
        <f t="shared" si="11"/>
        <v>691628</v>
      </c>
      <c r="K54" s="149">
        <v>691628</v>
      </c>
      <c r="L54" s="150">
        <f t="shared" si="12"/>
        <v>0</v>
      </c>
    </row>
    <row r="55" spans="3:14" x14ac:dyDescent="0.35">
      <c r="C55" s="139" t="s">
        <v>66</v>
      </c>
      <c r="D55" s="235">
        <v>0</v>
      </c>
      <c r="E55" s="236"/>
      <c r="H55" s="152" t="s">
        <v>45</v>
      </c>
      <c r="I55" s="152"/>
      <c r="J55" s="153">
        <f>SUM(J49:J54)</f>
        <v>8743359</v>
      </c>
      <c r="K55" s="154">
        <v>8874004</v>
      </c>
      <c r="L55" s="150">
        <f t="shared" si="12"/>
        <v>-130645</v>
      </c>
    </row>
    <row r="56" spans="3:14" x14ac:dyDescent="0.35">
      <c r="C56" s="139" t="s">
        <v>78</v>
      </c>
      <c r="D56" s="235">
        <v>0</v>
      </c>
      <c r="E56" s="236"/>
      <c r="H56" s="152"/>
      <c r="I56" s="152"/>
      <c r="J56" s="153"/>
      <c r="K56" s="155"/>
      <c r="L56" s="150"/>
    </row>
    <row r="57" spans="3:14" x14ac:dyDescent="0.35">
      <c r="C57" s="139" t="s">
        <v>75</v>
      </c>
      <c r="D57" s="235">
        <v>10000</v>
      </c>
      <c r="E57" s="236"/>
      <c r="H57" s="147" t="s">
        <v>42</v>
      </c>
      <c r="I57" s="147" t="s">
        <v>43</v>
      </c>
      <c r="J57" s="147" t="s">
        <v>44</v>
      </c>
      <c r="K57" s="146"/>
      <c r="L57" s="150"/>
    </row>
    <row r="58" spans="3:14" x14ac:dyDescent="0.35">
      <c r="C58" s="156" t="s">
        <v>83</v>
      </c>
      <c r="D58" s="227">
        <f>SUM(D55:E57)</f>
        <v>10000</v>
      </c>
      <c r="E58" s="228"/>
      <c r="H58" s="104" t="s">
        <v>46</v>
      </c>
      <c r="I58" s="104" t="s">
        <v>48</v>
      </c>
      <c r="J58" s="148">
        <f>M12-O12-N12-L12+I12</f>
        <v>421937</v>
      </c>
      <c r="K58" s="149">
        <v>421937</v>
      </c>
      <c r="L58" s="150">
        <f t="shared" si="12"/>
        <v>0</v>
      </c>
    </row>
    <row r="59" spans="3:14" x14ac:dyDescent="0.35">
      <c r="C59" s="157" t="s">
        <v>67</v>
      </c>
      <c r="D59" s="229">
        <f>D54-D55-D57-D56</f>
        <v>2365534</v>
      </c>
      <c r="E59" s="230"/>
      <c r="H59" s="104" t="s">
        <v>46</v>
      </c>
      <c r="I59" s="104" t="s">
        <v>47</v>
      </c>
      <c r="J59" s="148">
        <f>M13-O13-N13-L13+I13</f>
        <v>1657261</v>
      </c>
      <c r="K59" s="149">
        <v>1657261</v>
      </c>
      <c r="L59" s="150">
        <f t="shared" si="12"/>
        <v>0</v>
      </c>
      <c r="N59" s="148"/>
    </row>
    <row r="60" spans="3:14" x14ac:dyDescent="0.35">
      <c r="C60" s="158" t="s">
        <v>68</v>
      </c>
      <c r="D60" s="231"/>
      <c r="E60" s="232"/>
      <c r="H60" s="104" t="s">
        <v>46</v>
      </c>
      <c r="I60" s="104" t="s">
        <v>15</v>
      </c>
      <c r="J60" s="148">
        <f>M14-O14-N14-L14+I14</f>
        <v>379215</v>
      </c>
      <c r="K60" s="149">
        <v>379215</v>
      </c>
      <c r="L60" s="150">
        <f t="shared" si="12"/>
        <v>0</v>
      </c>
      <c r="M60" s="148"/>
      <c r="N60" s="148"/>
    </row>
    <row r="61" spans="3:14" x14ac:dyDescent="0.35">
      <c r="C61" s="139" t="s">
        <v>14</v>
      </c>
      <c r="D61" s="225">
        <v>0</v>
      </c>
      <c r="E61" s="226"/>
      <c r="H61" s="104" t="s">
        <v>46</v>
      </c>
      <c r="I61" s="104" t="s">
        <v>20</v>
      </c>
      <c r="J61" s="148">
        <f>M15-O15</f>
        <v>0</v>
      </c>
      <c r="K61" s="149">
        <v>0</v>
      </c>
      <c r="L61" s="150">
        <f t="shared" si="12"/>
        <v>0</v>
      </c>
    </row>
    <row r="62" spans="3:14" x14ac:dyDescent="0.35">
      <c r="C62" s="139" t="s">
        <v>72</v>
      </c>
      <c r="D62" s="225">
        <v>0</v>
      </c>
      <c r="E62" s="226"/>
      <c r="H62" s="104" t="s">
        <v>27</v>
      </c>
      <c r="I62" s="104" t="s">
        <v>47</v>
      </c>
      <c r="J62" s="148">
        <f>M18-O18-N18-L18+I18</f>
        <v>51257</v>
      </c>
      <c r="K62" s="149">
        <v>51257</v>
      </c>
      <c r="L62" s="150">
        <f>J62-K62</f>
        <v>0</v>
      </c>
    </row>
    <row r="63" spans="3:14" x14ac:dyDescent="0.35">
      <c r="C63" s="139" t="s">
        <v>69</v>
      </c>
      <c r="D63" s="225">
        <v>0</v>
      </c>
      <c r="E63" s="226"/>
      <c r="H63" s="152" t="s">
        <v>45</v>
      </c>
      <c r="I63" s="152"/>
      <c r="J63" s="153">
        <f>SUM(J58:J62)</f>
        <v>2509670</v>
      </c>
      <c r="K63" s="149">
        <f>SUM(K58:K62)</f>
        <v>2509670</v>
      </c>
      <c r="L63" s="150">
        <f>J63-K63</f>
        <v>0</v>
      </c>
    </row>
    <row r="64" spans="3:14" x14ac:dyDescent="0.35">
      <c r="C64" s="139" t="s">
        <v>70</v>
      </c>
      <c r="D64" s="225">
        <v>0</v>
      </c>
      <c r="E64" s="226"/>
      <c r="F64" s="148"/>
      <c r="H64" s="147" t="s">
        <v>42</v>
      </c>
      <c r="I64" s="147" t="s">
        <v>43</v>
      </c>
      <c r="J64" s="147" t="s">
        <v>44</v>
      </c>
    </row>
    <row r="65" spans="3:14" x14ac:dyDescent="0.35">
      <c r="C65" s="139" t="s">
        <v>71</v>
      </c>
      <c r="D65" s="225">
        <v>0</v>
      </c>
      <c r="E65" s="226"/>
      <c r="F65" s="159"/>
      <c r="G65" s="160"/>
      <c r="H65" s="104" t="s">
        <v>49</v>
      </c>
      <c r="I65" s="104" t="s">
        <v>51</v>
      </c>
      <c r="J65" s="148">
        <f>M26-O26-N26-L26+I26</f>
        <v>1618039</v>
      </c>
      <c r="K65" s="149">
        <v>1671613</v>
      </c>
      <c r="L65" s="150">
        <f t="shared" ref="L65:L71" si="13">J65-K65</f>
        <v>-53574</v>
      </c>
      <c r="N65" s="148"/>
    </row>
    <row r="66" spans="3:14" x14ac:dyDescent="0.35">
      <c r="C66" s="157" t="s">
        <v>73</v>
      </c>
      <c r="D66" s="229">
        <f>SUM(D61:D65)</f>
        <v>0</v>
      </c>
      <c r="E66" s="230"/>
      <c r="F66" s="148"/>
      <c r="H66" s="104" t="s">
        <v>49</v>
      </c>
      <c r="I66" s="104" t="s">
        <v>18</v>
      </c>
      <c r="J66" s="148">
        <f>M27-O27-N27-L27+I27</f>
        <v>174473</v>
      </c>
      <c r="K66" s="149">
        <v>174473</v>
      </c>
      <c r="L66" s="150">
        <f t="shared" si="13"/>
        <v>0</v>
      </c>
    </row>
    <row r="67" spans="3:14" x14ac:dyDescent="0.35">
      <c r="C67" s="161" t="s">
        <v>74</v>
      </c>
      <c r="D67" s="233">
        <f>D59-D66</f>
        <v>2365534</v>
      </c>
      <c r="E67" s="234"/>
      <c r="F67" s="148"/>
      <c r="H67" s="104" t="s">
        <v>49</v>
      </c>
      <c r="I67" s="104" t="s">
        <v>15</v>
      </c>
      <c r="J67" s="148">
        <f>M28-O28-N28-L28+I28</f>
        <v>35126</v>
      </c>
      <c r="K67" s="149">
        <v>35126</v>
      </c>
      <c r="L67" s="150">
        <f t="shared" si="13"/>
        <v>0</v>
      </c>
    </row>
    <row r="68" spans="3:14" x14ac:dyDescent="0.35">
      <c r="C68" s="139"/>
      <c r="D68" s="225">
        <v>3102990</v>
      </c>
      <c r="E68" s="226"/>
      <c r="H68" s="104" t="s">
        <v>49</v>
      </c>
      <c r="I68" s="104" t="s">
        <v>50</v>
      </c>
      <c r="J68" s="148">
        <f>M29-O29-N29-L29+I29</f>
        <v>1496318</v>
      </c>
      <c r="K68" s="162">
        <v>1382171</v>
      </c>
      <c r="L68" s="150">
        <f t="shared" si="13"/>
        <v>114147</v>
      </c>
    </row>
    <row r="69" spans="3:14" x14ac:dyDescent="0.35">
      <c r="C69" s="139"/>
      <c r="D69" s="225">
        <f>D67-D68</f>
        <v>-737456</v>
      </c>
      <c r="E69" s="226"/>
      <c r="H69" s="104" t="s">
        <v>49</v>
      </c>
      <c r="I69" s="104" t="s">
        <v>20</v>
      </c>
      <c r="J69" s="148">
        <f>'Opening Balance FEB 2026'!F24</f>
        <v>66046</v>
      </c>
      <c r="K69" s="149">
        <v>66046</v>
      </c>
      <c r="L69" s="150">
        <f t="shared" si="13"/>
        <v>0</v>
      </c>
    </row>
    <row r="70" spans="3:14" x14ac:dyDescent="0.35">
      <c r="H70" s="104" t="s">
        <v>49</v>
      </c>
      <c r="I70" s="104" t="s">
        <v>47</v>
      </c>
      <c r="J70" s="148">
        <f>'Opening Balance FEB 2026'!F25</f>
        <v>23570</v>
      </c>
      <c r="K70" s="149">
        <v>23570</v>
      </c>
      <c r="L70" s="150">
        <f t="shared" si="13"/>
        <v>0</v>
      </c>
    </row>
    <row r="71" spans="3:14" x14ac:dyDescent="0.35">
      <c r="H71" s="152" t="s">
        <v>45</v>
      </c>
      <c r="I71" s="152"/>
      <c r="J71" s="153">
        <f>SUM(J65:J70)</f>
        <v>3413572</v>
      </c>
      <c r="K71" s="149">
        <v>3408572</v>
      </c>
      <c r="L71" s="150">
        <f t="shared" si="13"/>
        <v>5000</v>
      </c>
      <c r="N71" s="148"/>
    </row>
    <row r="72" spans="3:14" x14ac:dyDescent="0.35">
      <c r="H72" s="147" t="s">
        <v>42</v>
      </c>
      <c r="I72" s="147" t="s">
        <v>43</v>
      </c>
      <c r="J72" s="147" t="s">
        <v>44</v>
      </c>
    </row>
    <row r="73" spans="3:14" x14ac:dyDescent="0.35">
      <c r="H73" s="104" t="s">
        <v>52</v>
      </c>
      <c r="I73" s="104" t="s">
        <v>53</v>
      </c>
      <c r="J73" s="148">
        <f>M20-O20-N20-L20+I20-G72</f>
        <v>33969</v>
      </c>
      <c r="K73" s="148">
        <v>33969</v>
      </c>
      <c r="L73" s="150">
        <f>J73-K73</f>
        <v>0</v>
      </c>
    </row>
    <row r="74" spans="3:14" x14ac:dyDescent="0.35">
      <c r="H74" s="104" t="s">
        <v>52</v>
      </c>
      <c r="I74" s="104" t="s">
        <v>47</v>
      </c>
      <c r="J74" s="148">
        <f>M21-O21-N21-L21+I21</f>
        <v>151366</v>
      </c>
      <c r="K74" s="162">
        <v>151366</v>
      </c>
      <c r="L74" s="150">
        <f>J74-K74</f>
        <v>0</v>
      </c>
    </row>
    <row r="75" spans="3:14" x14ac:dyDescent="0.35">
      <c r="H75" s="152" t="s">
        <v>45</v>
      </c>
      <c r="I75" s="152"/>
      <c r="J75" s="153">
        <f>SUM(J73:J74)</f>
        <v>185335</v>
      </c>
      <c r="K75" s="148">
        <v>160846</v>
      </c>
      <c r="L75" s="150">
        <f>J75-K75</f>
        <v>24489</v>
      </c>
    </row>
    <row r="76" spans="3:14" x14ac:dyDescent="0.35">
      <c r="G76" s="104">
        <v>0</v>
      </c>
      <c r="H76" s="147" t="s">
        <v>42</v>
      </c>
      <c r="I76" s="147" t="s">
        <v>43</v>
      </c>
      <c r="J76" s="147" t="s">
        <v>44</v>
      </c>
      <c r="K76" s="149">
        <v>0</v>
      </c>
      <c r="L76" s="150"/>
    </row>
    <row r="77" spans="3:14" x14ac:dyDescent="0.35">
      <c r="H77" s="104" t="s">
        <v>54</v>
      </c>
      <c r="I77" s="104" t="s">
        <v>53</v>
      </c>
      <c r="J77" s="148">
        <f>M23-O23-N23-L23+I23-G76</f>
        <v>89658</v>
      </c>
      <c r="K77" s="149">
        <v>89658</v>
      </c>
      <c r="L77" s="150">
        <f>J77-K77</f>
        <v>0</v>
      </c>
    </row>
    <row r="78" spans="3:14" x14ac:dyDescent="0.35">
      <c r="H78" s="104" t="s">
        <v>54</v>
      </c>
      <c r="I78" s="104" t="s">
        <v>18</v>
      </c>
      <c r="J78" s="148">
        <f>M24-O24-N24-L24+I24</f>
        <v>17000</v>
      </c>
      <c r="K78" s="149">
        <v>67000</v>
      </c>
      <c r="L78" s="150">
        <f>J78-K78</f>
        <v>-50000</v>
      </c>
    </row>
    <row r="79" spans="3:14" x14ac:dyDescent="0.35">
      <c r="H79" s="152" t="s">
        <v>45</v>
      </c>
      <c r="I79" s="152"/>
      <c r="J79" s="153">
        <f>SUM(J77:J78)</f>
        <v>106658</v>
      </c>
      <c r="K79" s="148">
        <f>SUM(K76:K78)</f>
        <v>156658</v>
      </c>
      <c r="L79" s="150">
        <f>J79-K79</f>
        <v>-50000</v>
      </c>
    </row>
    <row r="80" spans="3:14" x14ac:dyDescent="0.35">
      <c r="H80" s="147" t="s">
        <v>42</v>
      </c>
      <c r="I80" s="147" t="s">
        <v>43</v>
      </c>
      <c r="J80" s="147" t="s">
        <v>44</v>
      </c>
      <c r="K80" s="149">
        <v>0</v>
      </c>
      <c r="L80" s="150"/>
    </row>
    <row r="81" spans="4:12" x14ac:dyDescent="0.35">
      <c r="H81" s="104" t="s">
        <v>55</v>
      </c>
      <c r="I81" s="104" t="s">
        <v>56</v>
      </c>
      <c r="J81" s="148">
        <f>'Opening Balance FEB 2026'!F36</f>
        <v>103541</v>
      </c>
      <c r="K81" s="149">
        <v>103541</v>
      </c>
      <c r="L81" s="150">
        <f>J81-K81</f>
        <v>0</v>
      </c>
    </row>
    <row r="82" spans="4:12" x14ac:dyDescent="0.35">
      <c r="H82" s="104" t="s">
        <v>55</v>
      </c>
      <c r="I82" s="104" t="s">
        <v>47</v>
      </c>
      <c r="J82" s="148">
        <f>'Opening Balance FEB 2026'!F37</f>
        <v>6013</v>
      </c>
      <c r="K82" s="149">
        <v>6013</v>
      </c>
      <c r="L82" s="150">
        <f>J82-K82</f>
        <v>0</v>
      </c>
    </row>
    <row r="83" spans="4:12" x14ac:dyDescent="0.35">
      <c r="H83" s="152" t="s">
        <v>45</v>
      </c>
      <c r="I83" s="152"/>
      <c r="J83" s="153">
        <v>109554</v>
      </c>
      <c r="K83" s="148">
        <f>SUM(K80:K82)</f>
        <v>109554</v>
      </c>
      <c r="L83" s="150">
        <f>J83-K83</f>
        <v>0</v>
      </c>
    </row>
    <row r="84" spans="4:12" x14ac:dyDescent="0.35">
      <c r="H84" s="147" t="s">
        <v>42</v>
      </c>
      <c r="I84" s="147" t="s">
        <v>43</v>
      </c>
      <c r="J84" s="147" t="s">
        <v>44</v>
      </c>
      <c r="K84" s="149">
        <v>0</v>
      </c>
      <c r="L84" s="150"/>
    </row>
    <row r="85" spans="4:12" x14ac:dyDescent="0.35">
      <c r="H85" s="104" t="s">
        <v>57</v>
      </c>
      <c r="I85" s="104" t="s">
        <v>47</v>
      </c>
      <c r="J85" s="148">
        <f>'Opening Balance FEB 2026'!F40</f>
        <v>16440</v>
      </c>
      <c r="K85" s="149">
        <v>16440</v>
      </c>
      <c r="L85" s="150">
        <f>J85-K85</f>
        <v>0</v>
      </c>
    </row>
    <row r="86" spans="4:12" x14ac:dyDescent="0.35">
      <c r="H86" s="152" t="s">
        <v>45</v>
      </c>
      <c r="I86" s="152"/>
      <c r="J86" s="153">
        <v>16440</v>
      </c>
      <c r="K86" s="149">
        <f>SUM(K84:K85)</f>
        <v>16440</v>
      </c>
    </row>
    <row r="87" spans="4:12" x14ac:dyDescent="0.35">
      <c r="J87" s="148"/>
    </row>
    <row r="88" spans="4:12" x14ac:dyDescent="0.35">
      <c r="H88" s="163" t="s">
        <v>58</v>
      </c>
      <c r="I88" s="163"/>
      <c r="J88" s="164">
        <f>J86+J83+J79+J75+J71+J63+J55</f>
        <v>15084588</v>
      </c>
    </row>
    <row r="90" spans="4:12" x14ac:dyDescent="0.35">
      <c r="D90" s="165" t="s">
        <v>82</v>
      </c>
      <c r="E90" s="165"/>
      <c r="F90" s="165"/>
      <c r="G90" s="165"/>
      <c r="H90" s="165"/>
    </row>
    <row r="91" spans="4:12" x14ac:dyDescent="0.35">
      <c r="D91" s="158" t="s">
        <v>42</v>
      </c>
      <c r="E91" s="158" t="s">
        <v>43</v>
      </c>
      <c r="F91" s="158" t="s">
        <v>79</v>
      </c>
      <c r="G91" s="158" t="s">
        <v>80</v>
      </c>
      <c r="H91" s="158" t="s">
        <v>81</v>
      </c>
    </row>
    <row r="92" spans="4:12" x14ac:dyDescent="0.35">
      <c r="D92" s="139" t="s">
        <v>14</v>
      </c>
      <c r="E92" s="139" t="s">
        <v>15</v>
      </c>
      <c r="F92" s="166">
        <f>H5</f>
        <v>98942</v>
      </c>
      <c r="G92" s="166">
        <f>O5</f>
        <v>0</v>
      </c>
      <c r="H92" s="166">
        <f>I5</f>
        <v>43530</v>
      </c>
    </row>
    <row r="93" spans="4:12" x14ac:dyDescent="0.35">
      <c r="D93" s="139" t="s">
        <v>14</v>
      </c>
      <c r="E93" s="139" t="s">
        <v>17</v>
      </c>
      <c r="F93" s="166">
        <f>H6</f>
        <v>0</v>
      </c>
      <c r="G93" s="166">
        <f>O6</f>
        <v>0</v>
      </c>
      <c r="H93" s="166">
        <f>I6</f>
        <v>0</v>
      </c>
    </row>
    <row r="94" spans="4:12" x14ac:dyDescent="0.35">
      <c r="D94" s="139" t="s">
        <v>14</v>
      </c>
      <c r="E94" s="139" t="s">
        <v>18</v>
      </c>
      <c r="F94" s="166">
        <f>H7</f>
        <v>114655</v>
      </c>
      <c r="G94" s="166">
        <f>O7</f>
        <v>141986</v>
      </c>
      <c r="H94" s="166">
        <f>I7</f>
        <v>98236</v>
      </c>
    </row>
    <row r="95" spans="4:12" x14ac:dyDescent="0.35">
      <c r="D95" s="139" t="s">
        <v>14</v>
      </c>
      <c r="E95" s="139" t="s">
        <v>19</v>
      </c>
      <c r="F95" s="166">
        <f>H8</f>
        <v>103257</v>
      </c>
      <c r="G95" s="166">
        <f>O8</f>
        <v>63687</v>
      </c>
      <c r="H95" s="166">
        <f>I8</f>
        <v>48134</v>
      </c>
    </row>
    <row r="96" spans="4:12" x14ac:dyDescent="0.35">
      <c r="D96" s="139" t="s">
        <v>14</v>
      </c>
      <c r="E96" s="139" t="s">
        <v>20</v>
      </c>
      <c r="F96" s="166">
        <f>H9</f>
        <v>59410</v>
      </c>
      <c r="G96" s="166">
        <f>O9</f>
        <v>41950</v>
      </c>
      <c r="H96" s="166">
        <f>I9</f>
        <v>26783</v>
      </c>
    </row>
    <row r="97" spans="4:8" x14ac:dyDescent="0.35">
      <c r="D97" s="139" t="s">
        <v>14</v>
      </c>
      <c r="E97" s="139" t="s">
        <v>21</v>
      </c>
      <c r="F97" s="166" t="e">
        <f>#REF!+#REF!</f>
        <v>#REF!</v>
      </c>
      <c r="G97" s="166" t="e">
        <f>#REF!</f>
        <v>#REF!</v>
      </c>
      <c r="H97" s="166" t="e">
        <f>#REF!</f>
        <v>#REF!</v>
      </c>
    </row>
    <row r="98" spans="4:8" x14ac:dyDescent="0.35">
      <c r="D98" s="167" t="s">
        <v>45</v>
      </c>
      <c r="E98" s="167"/>
      <c r="F98" s="168" t="e">
        <f>SUM(F92:F97)</f>
        <v>#REF!</v>
      </c>
      <c r="G98" s="168" t="e">
        <f t="shared" ref="G98" si="14">SUM(G92:G97)</f>
        <v>#REF!</v>
      </c>
      <c r="H98" s="168" t="e">
        <f>SUM(H92:H97)</f>
        <v>#REF!</v>
      </c>
    </row>
    <row r="99" spans="4:8" x14ac:dyDescent="0.35">
      <c r="D99" s="158" t="s">
        <v>42</v>
      </c>
      <c r="E99" s="158" t="s">
        <v>43</v>
      </c>
      <c r="F99" s="169" t="s">
        <v>79</v>
      </c>
      <c r="G99" s="169" t="s">
        <v>80</v>
      </c>
      <c r="H99" s="169" t="s">
        <v>81</v>
      </c>
    </row>
    <row r="100" spans="4:8" x14ac:dyDescent="0.35">
      <c r="D100" s="139" t="s">
        <v>46</v>
      </c>
      <c r="E100" s="139" t="s">
        <v>48</v>
      </c>
      <c r="F100" s="166">
        <f>H12</f>
        <v>78899</v>
      </c>
      <c r="G100" s="166">
        <f>O12</f>
        <v>41346</v>
      </c>
      <c r="H100" s="166">
        <f>I12</f>
        <v>32667</v>
      </c>
    </row>
    <row r="101" spans="4:8" x14ac:dyDescent="0.35">
      <c r="D101" s="139" t="s">
        <v>46</v>
      </c>
      <c r="E101" s="139" t="s">
        <v>47</v>
      </c>
      <c r="F101" s="166">
        <f>H13</f>
        <v>137580</v>
      </c>
      <c r="G101" s="166">
        <f>O13</f>
        <v>353214</v>
      </c>
      <c r="H101" s="166">
        <f>I13</f>
        <v>137580</v>
      </c>
    </row>
    <row r="102" spans="4:8" x14ac:dyDescent="0.35">
      <c r="D102" s="139" t="s">
        <v>27</v>
      </c>
      <c r="E102" s="139" t="s">
        <v>47</v>
      </c>
      <c r="F102" s="166">
        <v>0</v>
      </c>
      <c r="G102" s="166">
        <v>0</v>
      </c>
      <c r="H102" s="166">
        <v>0</v>
      </c>
    </row>
    <row r="103" spans="4:8" x14ac:dyDescent="0.35">
      <c r="D103" s="167" t="s">
        <v>45</v>
      </c>
      <c r="E103" s="167"/>
      <c r="F103" s="168">
        <f>SUM(F100:F102)</f>
        <v>216479</v>
      </c>
      <c r="G103" s="168">
        <f>SUM(G100:G102)</f>
        <v>394560</v>
      </c>
      <c r="H103" s="168">
        <f>SUM(H100:H102)</f>
        <v>170247</v>
      </c>
    </row>
    <row r="104" spans="4:8" x14ac:dyDescent="0.35">
      <c r="D104" s="158" t="s">
        <v>42</v>
      </c>
      <c r="E104" s="158" t="s">
        <v>43</v>
      </c>
      <c r="F104" s="169" t="s">
        <v>79</v>
      </c>
      <c r="G104" s="169" t="s">
        <v>80</v>
      </c>
      <c r="H104" s="169" t="s">
        <v>81</v>
      </c>
    </row>
    <row r="105" spans="4:8" x14ac:dyDescent="0.35">
      <c r="D105" s="139" t="s">
        <v>49</v>
      </c>
      <c r="E105" s="139" t="s">
        <v>51</v>
      </c>
      <c r="F105" s="166" t="e">
        <f>#REF!</f>
        <v>#REF!</v>
      </c>
      <c r="G105" s="166" t="e">
        <f>#REF!</f>
        <v>#REF!</v>
      </c>
      <c r="H105" s="166" t="e">
        <f>#REF!</f>
        <v>#REF!</v>
      </c>
    </row>
    <row r="106" spans="4:8" x14ac:dyDescent="0.35">
      <c r="D106" s="139" t="s">
        <v>49</v>
      </c>
      <c r="E106" s="139" t="s">
        <v>18</v>
      </c>
      <c r="F106" s="166">
        <f>H27</f>
        <v>0</v>
      </c>
      <c r="G106" s="166">
        <f>O27</f>
        <v>0</v>
      </c>
      <c r="H106" s="166">
        <v>0</v>
      </c>
    </row>
    <row r="107" spans="4:8" x14ac:dyDescent="0.35">
      <c r="D107" s="139" t="s">
        <v>49</v>
      </c>
      <c r="E107" s="139" t="s">
        <v>50</v>
      </c>
      <c r="F107" s="166" t="e">
        <f>#REF!+#REF!</f>
        <v>#REF!</v>
      </c>
      <c r="G107" s="166" t="e">
        <f>#REF!</f>
        <v>#REF!</v>
      </c>
      <c r="H107" s="166" t="e">
        <f>#REF!+#REF!</f>
        <v>#REF!</v>
      </c>
    </row>
    <row r="108" spans="4:8" x14ac:dyDescent="0.35">
      <c r="D108" s="167" t="s">
        <v>45</v>
      </c>
      <c r="E108" s="167"/>
      <c r="F108" s="168" t="e">
        <f>SUM(F105:F107)</f>
        <v>#REF!</v>
      </c>
      <c r="G108" s="168" t="e">
        <f>SUM(G105:G107)</f>
        <v>#REF!</v>
      </c>
      <c r="H108" s="168" t="e">
        <f>SUM(H105:H107)</f>
        <v>#REF!</v>
      </c>
    </row>
    <row r="109" spans="4:8" x14ac:dyDescent="0.35">
      <c r="D109" s="158" t="s">
        <v>42</v>
      </c>
      <c r="E109" s="158" t="s">
        <v>43</v>
      </c>
      <c r="F109" s="169" t="s">
        <v>79</v>
      </c>
      <c r="G109" s="169" t="s">
        <v>80</v>
      </c>
      <c r="H109" s="169" t="s">
        <v>81</v>
      </c>
    </row>
    <row r="110" spans="4:8" x14ac:dyDescent="0.35">
      <c r="D110" s="139" t="s">
        <v>52</v>
      </c>
      <c r="E110" s="139" t="s">
        <v>53</v>
      </c>
      <c r="F110" s="166">
        <f>H20</f>
        <v>0</v>
      </c>
      <c r="G110" s="166">
        <f>O20</f>
        <v>0</v>
      </c>
      <c r="H110" s="166">
        <f>I20</f>
        <v>0</v>
      </c>
    </row>
    <row r="111" spans="4:8" x14ac:dyDescent="0.35">
      <c r="D111" s="167" t="s">
        <v>45</v>
      </c>
      <c r="E111" s="167"/>
      <c r="F111" s="168">
        <f>SUM(F110)</f>
        <v>0</v>
      </c>
      <c r="G111" s="168">
        <f t="shared" ref="G111" si="15">SUM(G110)</f>
        <v>0</v>
      </c>
      <c r="H111" s="168">
        <f>SUM(H110)</f>
        <v>0</v>
      </c>
    </row>
    <row r="112" spans="4:8" x14ac:dyDescent="0.35">
      <c r="D112" s="158" t="s">
        <v>42</v>
      </c>
      <c r="E112" s="158" t="s">
        <v>43</v>
      </c>
      <c r="F112" s="169" t="s">
        <v>79</v>
      </c>
      <c r="G112" s="169" t="s">
        <v>80</v>
      </c>
      <c r="H112" s="169" t="s">
        <v>81</v>
      </c>
    </row>
    <row r="113" spans="4:8" x14ac:dyDescent="0.35">
      <c r="D113" s="139" t="s">
        <v>54</v>
      </c>
      <c r="E113" s="139" t="s">
        <v>53</v>
      </c>
      <c r="F113" s="166">
        <f>H23</f>
        <v>0</v>
      </c>
      <c r="G113" s="166">
        <f>O23</f>
        <v>0</v>
      </c>
      <c r="H113" s="166">
        <f>I23</f>
        <v>0</v>
      </c>
    </row>
    <row r="114" spans="4:8" x14ac:dyDescent="0.35">
      <c r="D114" s="139" t="s">
        <v>54</v>
      </c>
      <c r="E114" s="139" t="s">
        <v>18</v>
      </c>
      <c r="F114" s="166">
        <f>H24</f>
        <v>0</v>
      </c>
      <c r="G114" s="166">
        <f>O24</f>
        <v>0</v>
      </c>
      <c r="H114" s="166">
        <f>I24</f>
        <v>0</v>
      </c>
    </row>
    <row r="115" spans="4:8" x14ac:dyDescent="0.35">
      <c r="D115" s="167" t="s">
        <v>45</v>
      </c>
      <c r="E115" s="167"/>
      <c r="F115" s="168">
        <f>SUM(F113:F114)</f>
        <v>0</v>
      </c>
      <c r="G115" s="168">
        <f t="shared" ref="G115" si="16">SUM(G113:G114)</f>
        <v>0</v>
      </c>
      <c r="H115" s="168">
        <f>SUM(H113:H114)</f>
        <v>0</v>
      </c>
    </row>
    <row r="116" spans="4:8" x14ac:dyDescent="0.35">
      <c r="D116" s="170"/>
      <c r="E116" s="170"/>
      <c r="F116" s="171" t="e">
        <f>F115+F111+F108+F103+F98</f>
        <v>#REF!</v>
      </c>
      <c r="G116" s="171" t="e">
        <f t="shared" ref="G116" si="17">G115+G111+G108+G103+G98</f>
        <v>#REF!</v>
      </c>
      <c r="H116" s="171" t="e">
        <f>H115+H111+H108+H103+H98</f>
        <v>#REF!</v>
      </c>
    </row>
  </sheetData>
  <mergeCells count="43">
    <mergeCell ref="M42:O42"/>
    <mergeCell ref="C2:O2"/>
    <mergeCell ref="C3:O3"/>
    <mergeCell ref="H32:I32"/>
    <mergeCell ref="K33:L33"/>
    <mergeCell ref="M33:O33"/>
    <mergeCell ref="C34:D34"/>
    <mergeCell ref="K34:L34"/>
    <mergeCell ref="K35:L35"/>
    <mergeCell ref="K36:L36"/>
    <mergeCell ref="K37:L37"/>
    <mergeCell ref="K38:L38"/>
    <mergeCell ref="K42:L42"/>
    <mergeCell ref="K43:L43"/>
    <mergeCell ref="M43:O43"/>
    <mergeCell ref="K44:L44"/>
    <mergeCell ref="M44:O44"/>
    <mergeCell ref="K45:L45"/>
    <mergeCell ref="M45:O45"/>
    <mergeCell ref="D57:E57"/>
    <mergeCell ref="K46:L46"/>
    <mergeCell ref="M46:O46"/>
    <mergeCell ref="H47:J47"/>
    <mergeCell ref="K47:K48"/>
    <mergeCell ref="C50:E50"/>
    <mergeCell ref="C51:E51"/>
    <mergeCell ref="D52:E52"/>
    <mergeCell ref="D53:E53"/>
    <mergeCell ref="D54:E54"/>
    <mergeCell ref="D55:E55"/>
    <mergeCell ref="D56:E56"/>
    <mergeCell ref="D69:E69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8"/>
  <sheetViews>
    <sheetView zoomScale="50" zoomScaleNormal="50" workbookViewId="0">
      <selection activeCell="I9" sqref="I9"/>
    </sheetView>
  </sheetViews>
  <sheetFormatPr defaultRowHeight="23.25" x14ac:dyDescent="0.35"/>
  <cols>
    <col min="1" max="1" width="5.5703125" style="104" customWidth="1"/>
    <col min="2" max="2" width="0.140625" style="104" hidden="1" customWidth="1"/>
    <col min="3" max="3" width="20.85546875" style="104" customWidth="1"/>
    <col min="4" max="4" width="26.42578125" style="104" customWidth="1"/>
    <col min="5" max="5" width="27.5703125" style="104" bestFit="1" customWidth="1"/>
    <col min="6" max="6" width="32.28515625" style="104" bestFit="1" customWidth="1"/>
    <col min="7" max="7" width="26.42578125" style="104" customWidth="1"/>
    <col min="8" max="8" width="22.85546875" style="104" customWidth="1"/>
    <col min="9" max="9" width="23.5703125" style="104" customWidth="1"/>
    <col min="10" max="10" width="26.5703125" style="104" bestFit="1" customWidth="1"/>
    <col min="11" max="11" width="23.7109375" style="104" customWidth="1"/>
    <col min="12" max="12" width="22.5703125" style="104" customWidth="1"/>
    <col min="13" max="13" width="26.42578125" style="104" customWidth="1"/>
    <col min="14" max="14" width="17.5703125" style="104" customWidth="1"/>
    <col min="15" max="15" width="22" style="104" customWidth="1"/>
    <col min="16" max="16" width="7.5703125" style="104" customWidth="1"/>
    <col min="17" max="17" width="14.28515625" style="104" bestFit="1" customWidth="1"/>
    <col min="18" max="18" width="11.42578125" style="104" customWidth="1"/>
    <col min="19" max="16384" width="9.140625" style="104"/>
  </cols>
  <sheetData>
    <row r="2" spans="1:16" x14ac:dyDescent="0.35">
      <c r="C2" s="246">
        <v>46107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8"/>
    </row>
    <row r="3" spans="1:16" x14ac:dyDescent="0.35">
      <c r="C3" s="249" t="s">
        <v>0</v>
      </c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6" ht="93" x14ac:dyDescent="0.35">
      <c r="A4" s="182"/>
      <c r="C4" s="106" t="s">
        <v>1</v>
      </c>
      <c r="D4" s="106" t="s">
        <v>2</v>
      </c>
      <c r="E4" s="106" t="s">
        <v>3</v>
      </c>
      <c r="F4" s="106" t="s">
        <v>4</v>
      </c>
      <c r="G4" s="106" t="s">
        <v>5</v>
      </c>
      <c r="H4" s="106" t="s">
        <v>6</v>
      </c>
      <c r="I4" s="106" t="s">
        <v>7</v>
      </c>
      <c r="J4" s="106" t="s">
        <v>8</v>
      </c>
      <c r="K4" s="107" t="s">
        <v>9</v>
      </c>
      <c r="L4" s="107" t="s">
        <v>10</v>
      </c>
      <c r="M4" s="108" t="s">
        <v>11</v>
      </c>
      <c r="N4" s="109" t="s">
        <v>12</v>
      </c>
      <c r="O4" s="106" t="s">
        <v>13</v>
      </c>
    </row>
    <row r="5" spans="1:16" x14ac:dyDescent="0.35">
      <c r="A5" s="110"/>
      <c r="C5" s="111" t="s">
        <v>14</v>
      </c>
      <c r="D5" s="112" t="s">
        <v>15</v>
      </c>
      <c r="E5" s="113" t="s">
        <v>16</v>
      </c>
      <c r="F5" s="114">
        <v>0</v>
      </c>
      <c r="G5" s="114">
        <v>0</v>
      </c>
      <c r="H5" s="115">
        <f>F5-G5</f>
        <v>0</v>
      </c>
      <c r="I5" s="115">
        <f>H5-J5</f>
        <v>0</v>
      </c>
      <c r="J5" s="116">
        <v>0</v>
      </c>
      <c r="K5" s="117">
        <v>0</v>
      </c>
      <c r="L5" s="116">
        <v>0</v>
      </c>
      <c r="M5" s="114">
        <f>'25-03-2026'!J49</f>
        <v>415800</v>
      </c>
      <c r="N5" s="117">
        <v>0</v>
      </c>
      <c r="O5" s="118">
        <v>63248</v>
      </c>
      <c r="P5" s="119"/>
    </row>
    <row r="6" spans="1:16" x14ac:dyDescent="0.35">
      <c r="A6" s="110"/>
      <c r="C6" s="111" t="s">
        <v>14</v>
      </c>
      <c r="D6" s="112" t="s">
        <v>17</v>
      </c>
      <c r="E6" s="113" t="s">
        <v>93</v>
      </c>
      <c r="F6" s="114">
        <v>44636</v>
      </c>
      <c r="G6" s="114"/>
      <c r="H6" s="115">
        <f t="shared" ref="H6:H10" si="0">F6-G6</f>
        <v>44636</v>
      </c>
      <c r="I6" s="115">
        <f t="shared" ref="I6:I10" si="1">H6-J6</f>
        <v>0</v>
      </c>
      <c r="J6" s="116">
        <v>44636</v>
      </c>
      <c r="K6" s="117">
        <v>0</v>
      </c>
      <c r="L6" s="116">
        <v>0</v>
      </c>
      <c r="M6" s="114">
        <f>'25-03-2026'!J50</f>
        <v>3257215</v>
      </c>
      <c r="N6" s="117">
        <v>0</v>
      </c>
      <c r="O6" s="118">
        <v>358113</v>
      </c>
    </row>
    <row r="7" spans="1:16" x14ac:dyDescent="0.35">
      <c r="A7" s="110"/>
      <c r="C7" s="111" t="s">
        <v>14</v>
      </c>
      <c r="D7" s="112" t="s">
        <v>18</v>
      </c>
      <c r="E7" s="113" t="s">
        <v>98</v>
      </c>
      <c r="F7" s="114">
        <v>151266</v>
      </c>
      <c r="G7" s="114">
        <v>0</v>
      </c>
      <c r="H7" s="115">
        <f t="shared" si="0"/>
        <v>151266</v>
      </c>
      <c r="I7" s="115">
        <f t="shared" si="1"/>
        <v>139299</v>
      </c>
      <c r="J7" s="116">
        <v>11967</v>
      </c>
      <c r="K7" s="117">
        <v>0</v>
      </c>
      <c r="L7" s="116">
        <v>0</v>
      </c>
      <c r="M7" s="114">
        <f>'25-03-2026'!J51</f>
        <v>1757091</v>
      </c>
      <c r="N7" s="117">
        <v>0</v>
      </c>
      <c r="O7" s="118">
        <v>65185</v>
      </c>
    </row>
    <row r="8" spans="1:16" x14ac:dyDescent="0.35">
      <c r="A8" s="110"/>
      <c r="C8" s="111" t="s">
        <v>14</v>
      </c>
      <c r="D8" s="112" t="s">
        <v>19</v>
      </c>
      <c r="E8" s="113" t="s">
        <v>95</v>
      </c>
      <c r="F8" s="114">
        <v>49151</v>
      </c>
      <c r="G8" s="114">
        <v>3486</v>
      </c>
      <c r="H8" s="115">
        <f t="shared" si="0"/>
        <v>45665</v>
      </c>
      <c r="I8" s="115">
        <f>H8-J8+33</f>
        <v>34407</v>
      </c>
      <c r="J8" s="116">
        <v>11291</v>
      </c>
      <c r="K8" s="117">
        <v>0</v>
      </c>
      <c r="L8" s="116">
        <v>0</v>
      </c>
      <c r="M8" s="114">
        <f>'25-03-2026'!J52</f>
        <v>1295999</v>
      </c>
      <c r="N8" s="117">
        <v>0</v>
      </c>
      <c r="O8" s="118">
        <v>97306</v>
      </c>
    </row>
    <row r="9" spans="1:16" x14ac:dyDescent="0.35">
      <c r="A9" s="110"/>
      <c r="C9" s="111" t="s">
        <v>14</v>
      </c>
      <c r="D9" s="112" t="s">
        <v>20</v>
      </c>
      <c r="E9" s="113" t="s">
        <v>92</v>
      </c>
      <c r="F9" s="114">
        <v>49200</v>
      </c>
      <c r="G9" s="114"/>
      <c r="H9" s="115">
        <f t="shared" si="0"/>
        <v>49200</v>
      </c>
      <c r="I9" s="115">
        <f t="shared" si="1"/>
        <v>14110</v>
      </c>
      <c r="J9" s="116">
        <v>35090</v>
      </c>
      <c r="K9" s="117">
        <v>0</v>
      </c>
      <c r="L9" s="116">
        <v>2550</v>
      </c>
      <c r="M9" s="114">
        <f>'25-03-2026'!J53</f>
        <v>1325626</v>
      </c>
      <c r="N9" s="117">
        <v>0</v>
      </c>
      <c r="O9" s="118">
        <v>35575</v>
      </c>
    </row>
    <row r="10" spans="1:16" x14ac:dyDescent="0.35">
      <c r="A10" s="110"/>
      <c r="C10" s="111" t="s">
        <v>14</v>
      </c>
      <c r="D10" s="112" t="s">
        <v>21</v>
      </c>
      <c r="E10" s="113" t="s">
        <v>95</v>
      </c>
      <c r="F10" s="114">
        <v>30601</v>
      </c>
      <c r="G10" s="114">
        <v>560</v>
      </c>
      <c r="H10" s="115">
        <f t="shared" si="0"/>
        <v>30041</v>
      </c>
      <c r="I10" s="115">
        <f t="shared" si="1"/>
        <v>0</v>
      </c>
      <c r="J10" s="116">
        <v>30041</v>
      </c>
      <c r="K10" s="117">
        <v>0</v>
      </c>
      <c r="L10" s="116">
        <v>0</v>
      </c>
      <c r="M10" s="114">
        <f>'25-03-2026'!J54</f>
        <v>691628</v>
      </c>
      <c r="N10" s="117">
        <v>0</v>
      </c>
      <c r="O10" s="118">
        <v>46961</v>
      </c>
    </row>
    <row r="11" spans="1:16" x14ac:dyDescent="0.35">
      <c r="A11" s="110"/>
      <c r="C11" s="111" t="s">
        <v>14</v>
      </c>
      <c r="D11" s="112" t="s">
        <v>21</v>
      </c>
      <c r="E11" s="113" t="s">
        <v>93</v>
      </c>
      <c r="F11" s="114">
        <v>1522</v>
      </c>
      <c r="G11" s="114"/>
      <c r="H11" s="115"/>
      <c r="I11" s="115"/>
      <c r="J11" s="116">
        <v>1522</v>
      </c>
      <c r="K11" s="117">
        <v>0</v>
      </c>
      <c r="L11" s="116">
        <v>0</v>
      </c>
      <c r="M11" s="114">
        <v>0</v>
      </c>
      <c r="N11" s="117">
        <v>0</v>
      </c>
      <c r="O11" s="118">
        <v>0</v>
      </c>
    </row>
    <row r="12" spans="1:16" x14ac:dyDescent="0.35">
      <c r="A12" s="120"/>
      <c r="C12" s="106" t="s">
        <v>22</v>
      </c>
      <c r="D12" s="106"/>
      <c r="E12" s="106"/>
      <c r="F12" s="121">
        <f t="shared" ref="F12:O12" si="2">SUM(F5:F10)</f>
        <v>324854</v>
      </c>
      <c r="G12" s="121">
        <f t="shared" si="2"/>
        <v>4046</v>
      </c>
      <c r="H12" s="121">
        <f t="shared" si="2"/>
        <v>320808</v>
      </c>
      <c r="I12" s="121">
        <f t="shared" si="2"/>
        <v>187816</v>
      </c>
      <c r="J12" s="121">
        <f>SUM(J5:J10)</f>
        <v>133025</v>
      </c>
      <c r="K12" s="121">
        <f>SUM(K5:K11)</f>
        <v>0</v>
      </c>
      <c r="L12" s="121">
        <f>SUM(L5:L11)</f>
        <v>2550</v>
      </c>
      <c r="M12" s="173">
        <f t="shared" si="2"/>
        <v>8743359</v>
      </c>
      <c r="N12" s="121">
        <f>SUM(N5:N11)</f>
        <v>0</v>
      </c>
      <c r="O12" s="121">
        <f t="shared" si="2"/>
        <v>666388</v>
      </c>
    </row>
    <row r="13" spans="1:16" x14ac:dyDescent="0.35">
      <c r="C13" s="111" t="s">
        <v>23</v>
      </c>
      <c r="D13" s="112" t="s">
        <v>24</v>
      </c>
      <c r="E13" s="113" t="s">
        <v>85</v>
      </c>
      <c r="F13" s="114">
        <v>37782</v>
      </c>
      <c r="G13" s="114">
        <v>446</v>
      </c>
      <c r="H13" s="115">
        <f t="shared" ref="H13:H31" si="3">F13-G13</f>
        <v>37336</v>
      </c>
      <c r="I13" s="115">
        <f t="shared" ref="I13:I31" si="4">H13-J13</f>
        <v>15353</v>
      </c>
      <c r="J13" s="116">
        <v>21983</v>
      </c>
      <c r="K13" s="117">
        <v>0</v>
      </c>
      <c r="L13" s="116">
        <v>0</v>
      </c>
      <c r="M13" s="114">
        <f>'25-03-2026'!J58</f>
        <v>421937</v>
      </c>
      <c r="N13" s="117">
        <v>0</v>
      </c>
      <c r="O13" s="116">
        <v>33502</v>
      </c>
    </row>
    <row r="14" spans="1:16" x14ac:dyDescent="0.35">
      <c r="C14" s="111" t="s">
        <v>23</v>
      </c>
      <c r="D14" s="112" t="s">
        <v>24</v>
      </c>
      <c r="E14" s="113" t="s">
        <v>92</v>
      </c>
      <c r="F14" s="114">
        <v>16279</v>
      </c>
      <c r="G14" s="114">
        <v>0</v>
      </c>
      <c r="H14" s="115">
        <f t="shared" si="3"/>
        <v>16279</v>
      </c>
      <c r="I14" s="115">
        <f t="shared" si="4"/>
        <v>0</v>
      </c>
      <c r="J14" s="116">
        <v>16279</v>
      </c>
      <c r="K14" s="117">
        <v>0</v>
      </c>
      <c r="L14" s="116">
        <v>0</v>
      </c>
      <c r="M14" s="114">
        <v>0</v>
      </c>
      <c r="N14" s="117">
        <v>0</v>
      </c>
      <c r="O14" s="116">
        <v>0</v>
      </c>
    </row>
    <row r="15" spans="1:16" x14ac:dyDescent="0.35">
      <c r="C15" s="111" t="s">
        <v>23</v>
      </c>
      <c r="D15" s="112" t="s">
        <v>25</v>
      </c>
      <c r="E15" s="113" t="s">
        <v>85</v>
      </c>
      <c r="F15" s="114">
        <v>201575</v>
      </c>
      <c r="G15" s="114">
        <v>890</v>
      </c>
      <c r="H15" s="115">
        <f t="shared" si="3"/>
        <v>200685</v>
      </c>
      <c r="I15" s="115">
        <f t="shared" si="4"/>
        <v>173946</v>
      </c>
      <c r="J15" s="116">
        <v>26739</v>
      </c>
      <c r="K15" s="117">
        <v>0</v>
      </c>
      <c r="L15" s="116">
        <v>0</v>
      </c>
      <c r="M15" s="114">
        <f>'25-03-2026'!J59</f>
        <v>1657261</v>
      </c>
      <c r="N15" s="117">
        <v>0</v>
      </c>
      <c r="O15" s="116">
        <v>60290</v>
      </c>
    </row>
    <row r="16" spans="1:16" x14ac:dyDescent="0.35">
      <c r="C16" s="111" t="s">
        <v>23</v>
      </c>
      <c r="D16" s="112" t="s">
        <v>26</v>
      </c>
      <c r="E16" s="113" t="s">
        <v>16</v>
      </c>
      <c r="F16" s="114">
        <v>0</v>
      </c>
      <c r="G16" s="114">
        <v>0</v>
      </c>
      <c r="H16" s="115">
        <f t="shared" si="3"/>
        <v>0</v>
      </c>
      <c r="I16" s="115">
        <f t="shared" si="4"/>
        <v>0</v>
      </c>
      <c r="J16" s="116">
        <v>0</v>
      </c>
      <c r="K16" s="117">
        <v>0</v>
      </c>
      <c r="L16" s="116">
        <v>0</v>
      </c>
      <c r="M16" s="114">
        <f>'25-03-2026'!J60</f>
        <v>379215</v>
      </c>
      <c r="N16" s="117">
        <v>0</v>
      </c>
      <c r="O16" s="116">
        <v>0</v>
      </c>
    </row>
    <row r="17" spans="3:15" x14ac:dyDescent="0.35">
      <c r="C17" s="111" t="s">
        <v>23</v>
      </c>
      <c r="D17" s="112" t="s">
        <v>20</v>
      </c>
      <c r="E17" s="113" t="s">
        <v>16</v>
      </c>
      <c r="F17" s="114">
        <v>0</v>
      </c>
      <c r="G17" s="114">
        <v>0</v>
      </c>
      <c r="H17" s="115">
        <f t="shared" si="3"/>
        <v>0</v>
      </c>
      <c r="I17" s="115">
        <f t="shared" si="4"/>
        <v>0</v>
      </c>
      <c r="J17" s="116">
        <v>0</v>
      </c>
      <c r="K17" s="117">
        <v>0</v>
      </c>
      <c r="L17" s="116">
        <v>0</v>
      </c>
      <c r="M17" s="114">
        <v>0</v>
      </c>
      <c r="N17" s="117">
        <v>0</v>
      </c>
      <c r="O17" s="116">
        <v>0</v>
      </c>
    </row>
    <row r="18" spans="3:15" x14ac:dyDescent="0.35">
      <c r="C18" s="111" t="s">
        <v>23</v>
      </c>
      <c r="D18" s="112" t="s">
        <v>18</v>
      </c>
      <c r="E18" s="113" t="s">
        <v>16</v>
      </c>
      <c r="F18" s="114">
        <v>0</v>
      </c>
      <c r="G18" s="114">
        <v>0</v>
      </c>
      <c r="H18" s="115">
        <f t="shared" si="3"/>
        <v>0</v>
      </c>
      <c r="I18" s="115">
        <f t="shared" si="4"/>
        <v>0</v>
      </c>
      <c r="J18" s="116">
        <v>0</v>
      </c>
      <c r="K18" s="117">
        <v>0</v>
      </c>
      <c r="L18" s="116">
        <v>0</v>
      </c>
      <c r="M18" s="114">
        <v>0</v>
      </c>
      <c r="N18" s="117">
        <v>0</v>
      </c>
      <c r="O18" s="116">
        <v>0</v>
      </c>
    </row>
    <row r="19" spans="3:15" x14ac:dyDescent="0.35">
      <c r="C19" s="111" t="s">
        <v>23</v>
      </c>
      <c r="D19" s="106"/>
      <c r="E19" s="106"/>
      <c r="F19" s="121">
        <f>SUM(F13:F18)</f>
        <v>255636</v>
      </c>
      <c r="G19" s="121">
        <f>SUM(G13:G18)</f>
        <v>1336</v>
      </c>
      <c r="H19" s="121">
        <f>SUM(H13:H17)</f>
        <v>254300</v>
      </c>
      <c r="I19" s="121">
        <f>SUM(I13:I17)</f>
        <v>189299</v>
      </c>
      <c r="J19" s="121">
        <f>SUM(J13:J18)</f>
        <v>65001</v>
      </c>
      <c r="K19" s="121">
        <f>SUM(K13:K17)</f>
        <v>0</v>
      </c>
      <c r="L19" s="121">
        <f>SUM(L13:L17)</f>
        <v>0</v>
      </c>
      <c r="M19" s="121">
        <f>SUM(M13:M18)</f>
        <v>2458413</v>
      </c>
      <c r="N19" s="121">
        <f>SUM(N13:N17)</f>
        <v>0</v>
      </c>
      <c r="O19" s="121">
        <f>SUM(O13:O18)</f>
        <v>93792</v>
      </c>
    </row>
    <row r="20" spans="3:15" x14ac:dyDescent="0.35">
      <c r="C20" s="111" t="s">
        <v>27</v>
      </c>
      <c r="D20" s="112" t="s">
        <v>25</v>
      </c>
      <c r="E20" s="113" t="s">
        <v>16</v>
      </c>
      <c r="F20" s="114">
        <v>0</v>
      </c>
      <c r="G20" s="114">
        <v>0</v>
      </c>
      <c r="H20" s="115">
        <f t="shared" si="3"/>
        <v>0</v>
      </c>
      <c r="I20" s="115">
        <f t="shared" si="4"/>
        <v>0</v>
      </c>
      <c r="J20" s="116">
        <v>0</v>
      </c>
      <c r="K20" s="117">
        <v>0</v>
      </c>
      <c r="L20" s="116">
        <v>0</v>
      </c>
      <c r="M20" s="114">
        <f>'25-03-2026'!J62</f>
        <v>51257</v>
      </c>
      <c r="N20" s="117">
        <v>0</v>
      </c>
      <c r="O20" s="116">
        <v>0</v>
      </c>
    </row>
    <row r="21" spans="3:15" x14ac:dyDescent="0.35">
      <c r="C21" s="106"/>
      <c r="D21" s="106"/>
      <c r="E21" s="106"/>
      <c r="F21" s="121">
        <f>SUM(F20)</f>
        <v>0</v>
      </c>
      <c r="G21" s="121">
        <f t="shared" ref="G21:O21" si="5">SUM(G20)</f>
        <v>0</v>
      </c>
      <c r="H21" s="121">
        <f t="shared" si="5"/>
        <v>0</v>
      </c>
      <c r="I21" s="121">
        <f t="shared" si="5"/>
        <v>0</v>
      </c>
      <c r="J21" s="121">
        <f t="shared" si="5"/>
        <v>0</v>
      </c>
      <c r="K21" s="121">
        <f t="shared" si="5"/>
        <v>0</v>
      </c>
      <c r="L21" s="121">
        <f t="shared" si="5"/>
        <v>0</v>
      </c>
      <c r="M21" s="121">
        <f>SUM(M20)</f>
        <v>51257</v>
      </c>
      <c r="N21" s="121">
        <f t="shared" si="5"/>
        <v>0</v>
      </c>
      <c r="O21" s="121">
        <f t="shared" si="5"/>
        <v>0</v>
      </c>
    </row>
    <row r="22" spans="3:15" x14ac:dyDescent="0.35">
      <c r="C22" s="111" t="s">
        <v>28</v>
      </c>
      <c r="D22" s="112" t="s">
        <v>29</v>
      </c>
      <c r="E22" s="113" t="s">
        <v>16</v>
      </c>
      <c r="F22" s="114">
        <v>0</v>
      </c>
      <c r="G22" s="114">
        <v>0</v>
      </c>
      <c r="H22" s="115">
        <f t="shared" si="3"/>
        <v>0</v>
      </c>
      <c r="I22" s="115">
        <f t="shared" si="4"/>
        <v>0</v>
      </c>
      <c r="J22" s="116">
        <v>0</v>
      </c>
      <c r="K22" s="117">
        <v>0</v>
      </c>
      <c r="L22" s="116">
        <v>0</v>
      </c>
      <c r="M22" s="114">
        <f>'25-03-2026'!J73</f>
        <v>33969</v>
      </c>
      <c r="N22" s="117">
        <v>0</v>
      </c>
      <c r="O22" s="116">
        <v>0</v>
      </c>
    </row>
    <row r="23" spans="3:15" x14ac:dyDescent="0.35">
      <c r="C23" s="111" t="s">
        <v>28</v>
      </c>
      <c r="D23" s="112" t="s">
        <v>25</v>
      </c>
      <c r="E23" s="113" t="s">
        <v>16</v>
      </c>
      <c r="F23" s="114">
        <v>0</v>
      </c>
      <c r="G23" s="114">
        <v>0</v>
      </c>
      <c r="H23" s="115">
        <f t="shared" si="3"/>
        <v>0</v>
      </c>
      <c r="I23" s="115">
        <f t="shared" si="4"/>
        <v>0</v>
      </c>
      <c r="J23" s="116">
        <v>0</v>
      </c>
      <c r="K23" s="117">
        <v>0</v>
      </c>
      <c r="L23" s="116">
        <v>0</v>
      </c>
      <c r="M23" s="114">
        <f>'25-03-2026'!J74</f>
        <v>151366</v>
      </c>
      <c r="N23" s="117">
        <v>0</v>
      </c>
      <c r="O23" s="116">
        <v>8474</v>
      </c>
    </row>
    <row r="24" spans="3:15" x14ac:dyDescent="0.35">
      <c r="C24" s="106" t="s">
        <v>22</v>
      </c>
      <c r="D24" s="106"/>
      <c r="E24" s="106"/>
      <c r="F24" s="121">
        <f t="shared" ref="F24:L24" si="6">SUM(F22:F23)</f>
        <v>0</v>
      </c>
      <c r="G24" s="121">
        <f t="shared" si="6"/>
        <v>0</v>
      </c>
      <c r="H24" s="121">
        <f t="shared" si="6"/>
        <v>0</v>
      </c>
      <c r="I24" s="121">
        <f t="shared" si="6"/>
        <v>0</v>
      </c>
      <c r="J24" s="121">
        <f t="shared" si="6"/>
        <v>0</v>
      </c>
      <c r="K24" s="121">
        <f>SUM(K22:K23)</f>
        <v>0</v>
      </c>
      <c r="L24" s="121">
        <f t="shared" si="6"/>
        <v>0</v>
      </c>
      <c r="M24" s="121">
        <f>SUM(M22:M23)</f>
        <v>185335</v>
      </c>
      <c r="N24" s="121">
        <f t="shared" ref="N24:O24" si="7">SUM(N22:N23)</f>
        <v>0</v>
      </c>
      <c r="O24" s="121">
        <f t="shared" si="7"/>
        <v>8474</v>
      </c>
    </row>
    <row r="25" spans="3:15" x14ac:dyDescent="0.35">
      <c r="C25" s="111" t="s">
        <v>30</v>
      </c>
      <c r="D25" s="112" t="s">
        <v>29</v>
      </c>
      <c r="E25" s="113" t="s">
        <v>16</v>
      </c>
      <c r="F25" s="122">
        <v>0</v>
      </c>
      <c r="G25" s="122">
        <v>0</v>
      </c>
      <c r="H25" s="115">
        <f t="shared" si="3"/>
        <v>0</v>
      </c>
      <c r="I25" s="115">
        <f t="shared" si="4"/>
        <v>0</v>
      </c>
      <c r="J25" s="123">
        <v>0</v>
      </c>
      <c r="K25" s="124">
        <v>0</v>
      </c>
      <c r="L25" s="123">
        <v>0</v>
      </c>
      <c r="M25" s="122">
        <f>'25-03-2026'!J77</f>
        <v>89658</v>
      </c>
      <c r="N25" s="124">
        <v>0</v>
      </c>
      <c r="O25" s="123">
        <v>0</v>
      </c>
    </row>
    <row r="26" spans="3:15" x14ac:dyDescent="0.35">
      <c r="C26" s="111" t="s">
        <v>30</v>
      </c>
      <c r="D26" s="112" t="s">
        <v>31</v>
      </c>
      <c r="E26" s="113" t="s">
        <v>16</v>
      </c>
      <c r="F26" s="122">
        <v>0</v>
      </c>
      <c r="G26" s="122">
        <v>0</v>
      </c>
      <c r="H26" s="115">
        <f t="shared" si="3"/>
        <v>0</v>
      </c>
      <c r="I26" s="115">
        <f t="shared" si="4"/>
        <v>0</v>
      </c>
      <c r="J26" s="123">
        <v>0</v>
      </c>
      <c r="K26" s="124">
        <v>0</v>
      </c>
      <c r="L26" s="123">
        <v>0</v>
      </c>
      <c r="M26" s="122">
        <f>'25-03-2026'!J78</f>
        <v>17000</v>
      </c>
      <c r="N26" s="124">
        <v>0</v>
      </c>
      <c r="O26" s="123">
        <v>0</v>
      </c>
    </row>
    <row r="27" spans="3:15" x14ac:dyDescent="0.35">
      <c r="C27" s="106" t="s">
        <v>22</v>
      </c>
      <c r="D27" s="106"/>
      <c r="E27" s="106"/>
      <c r="F27" s="121">
        <f>SUM(F25:F26)</f>
        <v>0</v>
      </c>
      <c r="G27" s="121">
        <f t="shared" ref="G27:O27" si="8">SUM(G25:G26)</f>
        <v>0</v>
      </c>
      <c r="H27" s="121">
        <f t="shared" si="8"/>
        <v>0</v>
      </c>
      <c r="I27" s="121">
        <f t="shared" si="8"/>
        <v>0</v>
      </c>
      <c r="J27" s="121">
        <f t="shared" si="8"/>
        <v>0</v>
      </c>
      <c r="K27" s="121">
        <f t="shared" si="8"/>
        <v>0</v>
      </c>
      <c r="L27" s="121">
        <f t="shared" si="8"/>
        <v>0</v>
      </c>
      <c r="M27" s="121">
        <f t="shared" si="8"/>
        <v>106658</v>
      </c>
      <c r="N27" s="121">
        <f t="shared" si="8"/>
        <v>0</v>
      </c>
      <c r="O27" s="121">
        <f t="shared" si="8"/>
        <v>0</v>
      </c>
    </row>
    <row r="28" spans="3:15" x14ac:dyDescent="0.35">
      <c r="C28" s="111" t="s">
        <v>32</v>
      </c>
      <c r="D28" s="112" t="s">
        <v>33</v>
      </c>
      <c r="E28" s="113"/>
      <c r="F28" s="125"/>
      <c r="G28" s="114">
        <v>0</v>
      </c>
      <c r="H28" s="115">
        <f t="shared" si="3"/>
        <v>0</v>
      </c>
      <c r="I28" s="115">
        <f t="shared" si="4"/>
        <v>0</v>
      </c>
      <c r="J28" s="116"/>
      <c r="K28" s="117">
        <v>0</v>
      </c>
      <c r="L28" s="116">
        <v>0</v>
      </c>
      <c r="M28" s="114">
        <f>'25-03-2026'!J65</f>
        <v>1618039</v>
      </c>
      <c r="N28" s="117">
        <v>0</v>
      </c>
      <c r="O28" s="116">
        <v>45652</v>
      </c>
    </row>
    <row r="29" spans="3:15" x14ac:dyDescent="0.35">
      <c r="C29" s="111" t="s">
        <v>32</v>
      </c>
      <c r="D29" s="112" t="s">
        <v>31</v>
      </c>
      <c r="E29" s="113" t="s">
        <v>16</v>
      </c>
      <c r="F29" s="125">
        <v>0</v>
      </c>
      <c r="G29" s="114">
        <v>0</v>
      </c>
      <c r="H29" s="115">
        <f t="shared" si="3"/>
        <v>0</v>
      </c>
      <c r="I29" s="115">
        <f t="shared" si="4"/>
        <v>0</v>
      </c>
      <c r="J29" s="116">
        <v>0</v>
      </c>
      <c r="K29" s="117">
        <v>0</v>
      </c>
      <c r="L29" s="116">
        <v>0</v>
      </c>
      <c r="M29" s="114">
        <f>'25-03-2026'!J66</f>
        <v>174473</v>
      </c>
      <c r="N29" s="117">
        <v>0</v>
      </c>
      <c r="O29" s="116">
        <v>0</v>
      </c>
    </row>
    <row r="30" spans="3:15" x14ac:dyDescent="0.35">
      <c r="C30" s="111" t="s">
        <v>32</v>
      </c>
      <c r="D30" s="112" t="s">
        <v>26</v>
      </c>
      <c r="E30" s="113" t="s">
        <v>16</v>
      </c>
      <c r="F30" s="125">
        <v>0</v>
      </c>
      <c r="G30" s="114">
        <v>0</v>
      </c>
      <c r="H30" s="115">
        <f t="shared" si="3"/>
        <v>0</v>
      </c>
      <c r="I30" s="115">
        <f t="shared" si="4"/>
        <v>0</v>
      </c>
      <c r="J30" s="116">
        <v>0</v>
      </c>
      <c r="K30" s="117">
        <v>0</v>
      </c>
      <c r="L30" s="116">
        <v>0</v>
      </c>
      <c r="M30" s="114">
        <f>'25-03-2026'!J67</f>
        <v>35126</v>
      </c>
      <c r="N30" s="117">
        <v>0</v>
      </c>
      <c r="O30" s="116">
        <v>0</v>
      </c>
    </row>
    <row r="31" spans="3:15" x14ac:dyDescent="0.35">
      <c r="C31" s="111" t="s">
        <v>32</v>
      </c>
      <c r="D31" s="112" t="s">
        <v>34</v>
      </c>
      <c r="E31" s="113" t="s">
        <v>92</v>
      </c>
      <c r="F31" s="125">
        <v>26555</v>
      </c>
      <c r="G31" s="114">
        <v>0</v>
      </c>
      <c r="H31" s="115">
        <f t="shared" si="3"/>
        <v>26555</v>
      </c>
      <c r="I31" s="115">
        <f t="shared" si="4"/>
        <v>21519</v>
      </c>
      <c r="J31" s="116">
        <v>5036</v>
      </c>
      <c r="K31" s="117">
        <v>0</v>
      </c>
      <c r="L31" s="116">
        <v>0</v>
      </c>
      <c r="M31" s="114">
        <f>'25-03-2026'!J68</f>
        <v>1496318</v>
      </c>
      <c r="N31" s="117">
        <v>0</v>
      </c>
      <c r="O31" s="116">
        <v>53509</v>
      </c>
    </row>
    <row r="32" spans="3:15" x14ac:dyDescent="0.35">
      <c r="C32" s="106" t="s">
        <v>22</v>
      </c>
      <c r="D32" s="106"/>
      <c r="E32" s="106"/>
      <c r="F32" s="121">
        <f t="shared" ref="F32:O32" si="9">SUM(F28:F31)</f>
        <v>26555</v>
      </c>
      <c r="G32" s="121">
        <f t="shared" si="9"/>
        <v>0</v>
      </c>
      <c r="H32" s="121">
        <f t="shared" si="9"/>
        <v>26555</v>
      </c>
      <c r="I32" s="121">
        <f t="shared" si="9"/>
        <v>21519</v>
      </c>
      <c r="J32" s="121">
        <f t="shared" si="9"/>
        <v>5036</v>
      </c>
      <c r="K32" s="121">
        <f t="shared" si="9"/>
        <v>0</v>
      </c>
      <c r="L32" s="121">
        <f t="shared" si="9"/>
        <v>0</v>
      </c>
      <c r="M32" s="121">
        <f t="shared" si="9"/>
        <v>3323956</v>
      </c>
      <c r="N32" s="121">
        <f t="shared" si="9"/>
        <v>0</v>
      </c>
      <c r="O32" s="121">
        <f t="shared" si="9"/>
        <v>99161</v>
      </c>
    </row>
    <row r="33" spans="3:15" x14ac:dyDescent="0.35">
      <c r="C33" s="126" t="s">
        <v>35</v>
      </c>
      <c r="D33" s="126"/>
      <c r="E33" s="126"/>
      <c r="F33" s="127">
        <f t="shared" ref="F33:O33" si="10">F32+F27+F24+F21+F19+F12</f>
        <v>607045</v>
      </c>
      <c r="G33" s="127">
        <f t="shared" si="10"/>
        <v>5382</v>
      </c>
      <c r="H33" s="127">
        <f t="shared" si="10"/>
        <v>601663</v>
      </c>
      <c r="I33" s="127">
        <f t="shared" si="10"/>
        <v>398634</v>
      </c>
      <c r="J33" s="127">
        <f t="shared" si="10"/>
        <v>203062</v>
      </c>
      <c r="K33" s="127">
        <f t="shared" si="10"/>
        <v>0</v>
      </c>
      <c r="L33" s="127">
        <f t="shared" si="10"/>
        <v>2550</v>
      </c>
      <c r="M33" s="127">
        <f t="shared" si="10"/>
        <v>14868978</v>
      </c>
      <c r="N33" s="127">
        <f t="shared" si="10"/>
        <v>0</v>
      </c>
      <c r="O33" s="127">
        <f t="shared" si="10"/>
        <v>867815</v>
      </c>
    </row>
    <row r="34" spans="3:15" x14ac:dyDescent="0.35">
      <c r="F34" s="128" t="s">
        <v>36</v>
      </c>
      <c r="G34" s="116">
        <f>O12+L12+J12-K12</f>
        <v>801963</v>
      </c>
      <c r="H34" s="252"/>
      <c r="I34" s="253"/>
      <c r="J34" s="129"/>
      <c r="K34" s="130"/>
      <c r="L34" s="130"/>
    </row>
    <row r="35" spans="3:15" x14ac:dyDescent="0.35">
      <c r="F35" s="131" t="s">
        <v>37</v>
      </c>
      <c r="G35" s="116">
        <f>O19+L19+J19-K19+O21+L21+J21-K21</f>
        <v>158793</v>
      </c>
      <c r="H35" s="132"/>
      <c r="I35" s="133" t="s">
        <v>89</v>
      </c>
      <c r="J35" s="133" t="s">
        <v>90</v>
      </c>
      <c r="K35" s="239" t="s">
        <v>88</v>
      </c>
      <c r="L35" s="238"/>
      <c r="M35" s="254" t="s">
        <v>87</v>
      </c>
      <c r="N35" s="255"/>
      <c r="O35" s="256"/>
    </row>
    <row r="36" spans="3:15" x14ac:dyDescent="0.35">
      <c r="C36" s="257" t="s">
        <v>68</v>
      </c>
      <c r="D36" s="258"/>
      <c r="F36" s="134" t="s">
        <v>38</v>
      </c>
      <c r="G36" s="116">
        <f>O24+L24+J24-K24</f>
        <v>8474</v>
      </c>
      <c r="H36" s="132"/>
      <c r="I36" s="133"/>
      <c r="J36" s="135"/>
      <c r="K36" s="239"/>
      <c r="L36" s="238"/>
      <c r="M36" s="136"/>
      <c r="N36" s="137"/>
      <c r="O36" s="138"/>
    </row>
    <row r="37" spans="3:15" x14ac:dyDescent="0.35">
      <c r="C37" s="139"/>
      <c r="D37" s="139"/>
      <c r="F37" s="140" t="s">
        <v>30</v>
      </c>
      <c r="G37" s="116">
        <f>O27+L27+J27-K27</f>
        <v>0</v>
      </c>
      <c r="H37" s="132"/>
      <c r="I37" s="141"/>
      <c r="J37" s="135"/>
      <c r="K37" s="239"/>
      <c r="L37" s="238"/>
      <c r="M37" s="136"/>
      <c r="N37" s="137"/>
      <c r="O37" s="138"/>
    </row>
    <row r="38" spans="3:15" x14ac:dyDescent="0.35">
      <c r="C38" s="139"/>
      <c r="D38" s="139"/>
      <c r="F38" s="128" t="s">
        <v>39</v>
      </c>
      <c r="G38" s="116">
        <f>O32+L32+J32-K32</f>
        <v>104197</v>
      </c>
      <c r="H38" s="132"/>
      <c r="I38" s="141"/>
      <c r="J38" s="135"/>
      <c r="K38" s="239"/>
      <c r="L38" s="238"/>
      <c r="M38" s="136"/>
      <c r="N38" s="137"/>
      <c r="O38" s="138"/>
    </row>
    <row r="39" spans="3:15" x14ac:dyDescent="0.35">
      <c r="C39" s="139"/>
      <c r="D39" s="139"/>
      <c r="F39" s="142" t="s">
        <v>40</v>
      </c>
      <c r="G39" s="143">
        <f>SUM(G34:G38)</f>
        <v>1073427</v>
      </c>
      <c r="I39" s="139"/>
      <c r="J39" s="135"/>
      <c r="K39" s="239"/>
      <c r="L39" s="238"/>
      <c r="M39" s="136"/>
      <c r="N39" s="137"/>
      <c r="O39" s="138"/>
    </row>
    <row r="40" spans="3:15" x14ac:dyDescent="0.35">
      <c r="C40" s="139"/>
      <c r="D40" s="139"/>
      <c r="F40" s="144"/>
      <c r="G40" s="184"/>
      <c r="I40" s="139"/>
      <c r="J40" s="135"/>
      <c r="K40" s="239"/>
      <c r="L40" s="238"/>
      <c r="M40" s="136"/>
      <c r="N40" s="137"/>
      <c r="O40" s="138"/>
    </row>
    <row r="41" spans="3:15" x14ac:dyDescent="0.35">
      <c r="C41" s="139"/>
      <c r="D41" s="139"/>
      <c r="F41" s="144"/>
      <c r="G41" s="184"/>
      <c r="I41" s="139"/>
      <c r="J41" s="135"/>
      <c r="K41" s="137"/>
      <c r="L41" s="137"/>
      <c r="M41" s="136"/>
      <c r="N41" s="137"/>
      <c r="O41" s="138"/>
    </row>
    <row r="42" spans="3:15" x14ac:dyDescent="0.35">
      <c r="C42" s="139"/>
      <c r="D42" s="139"/>
      <c r="F42" s="144"/>
      <c r="G42" s="145"/>
      <c r="I42" s="139"/>
      <c r="J42" s="135"/>
      <c r="K42" s="137"/>
      <c r="L42" s="137"/>
      <c r="M42" s="136"/>
      <c r="N42" s="137"/>
      <c r="O42" s="138"/>
    </row>
    <row r="43" spans="3:15" x14ac:dyDescent="0.35">
      <c r="C43" s="139"/>
      <c r="D43" s="139"/>
      <c r="F43" s="144"/>
      <c r="G43" s="145"/>
      <c r="I43" s="139"/>
      <c r="J43" s="135"/>
      <c r="K43" s="137"/>
      <c r="L43" s="137"/>
      <c r="M43" s="136"/>
      <c r="N43" s="137"/>
      <c r="O43" s="138"/>
    </row>
    <row r="44" spans="3:15" x14ac:dyDescent="0.35">
      <c r="C44" s="139"/>
      <c r="D44" s="139"/>
      <c r="F44" s="144"/>
      <c r="G44" s="145"/>
      <c r="I44" s="139"/>
      <c r="J44" s="135"/>
      <c r="K44" s="237"/>
      <c r="L44" s="238"/>
      <c r="M44" s="237"/>
      <c r="N44" s="239"/>
      <c r="O44" s="238"/>
    </row>
    <row r="45" spans="3:15" x14ac:dyDescent="0.35">
      <c r="C45" s="139"/>
      <c r="D45" s="139"/>
      <c r="F45" s="144"/>
      <c r="G45" s="145"/>
      <c r="I45" s="139"/>
      <c r="J45" s="133"/>
      <c r="K45" s="237"/>
      <c r="L45" s="238"/>
      <c r="M45" s="237"/>
      <c r="N45" s="239"/>
      <c r="O45" s="238"/>
    </row>
    <row r="46" spans="3:15" x14ac:dyDescent="0.35">
      <c r="C46" s="139"/>
      <c r="D46" s="139"/>
      <c r="F46" s="144"/>
      <c r="G46" s="145"/>
      <c r="I46" s="139"/>
      <c r="J46" s="133"/>
      <c r="K46" s="237"/>
      <c r="L46" s="238"/>
      <c r="M46" s="237"/>
      <c r="N46" s="239"/>
      <c r="O46" s="238"/>
    </row>
    <row r="47" spans="3:15" x14ac:dyDescent="0.35">
      <c r="C47" s="139"/>
      <c r="D47" s="139"/>
      <c r="F47" s="144"/>
      <c r="G47" s="145"/>
      <c r="I47" s="139"/>
      <c r="J47" s="133"/>
      <c r="K47" s="237"/>
      <c r="L47" s="238"/>
      <c r="M47" s="237"/>
      <c r="N47" s="239"/>
      <c r="O47" s="238"/>
    </row>
    <row r="48" spans="3:15" x14ac:dyDescent="0.35">
      <c r="C48" s="139"/>
      <c r="D48" s="139"/>
      <c r="F48" s="144"/>
      <c r="G48" s="145"/>
      <c r="I48" s="139"/>
      <c r="J48" s="133"/>
      <c r="K48" s="237"/>
      <c r="L48" s="238"/>
      <c r="M48" s="237"/>
      <c r="N48" s="239"/>
      <c r="O48" s="238"/>
    </row>
    <row r="49" spans="3:14" x14ac:dyDescent="0.35">
      <c r="H49" s="240" t="s">
        <v>41</v>
      </c>
      <c r="I49" s="240"/>
      <c r="J49" s="240"/>
      <c r="K49" s="241"/>
      <c r="L49" s="110"/>
      <c r="M49" s="146"/>
    </row>
    <row r="50" spans="3:14" x14ac:dyDescent="0.35">
      <c r="H50" s="147" t="s">
        <v>42</v>
      </c>
      <c r="I50" s="147" t="s">
        <v>43</v>
      </c>
      <c r="J50" s="147" t="s">
        <v>44</v>
      </c>
      <c r="K50" s="241"/>
      <c r="L50" s="146"/>
    </row>
    <row r="51" spans="3:14" x14ac:dyDescent="0.35">
      <c r="F51" s="148"/>
      <c r="H51" s="104" t="s">
        <v>14</v>
      </c>
      <c r="I51" s="104" t="s">
        <v>15</v>
      </c>
      <c r="J51" s="148">
        <f t="shared" ref="J51:J56" si="11">M5-O5-N5-L5+I5</f>
        <v>352552</v>
      </c>
      <c r="K51" s="149">
        <v>415800</v>
      </c>
      <c r="L51" s="150">
        <f>J51-K51</f>
        <v>-63248</v>
      </c>
      <c r="M51" s="148"/>
    </row>
    <row r="52" spans="3:14" x14ac:dyDescent="0.35">
      <c r="C52" s="242">
        <v>45931</v>
      </c>
      <c r="D52" s="242"/>
      <c r="E52" s="242"/>
      <c r="H52" s="104" t="s">
        <v>14</v>
      </c>
      <c r="I52" s="104" t="s">
        <v>17</v>
      </c>
      <c r="J52" s="148">
        <f t="shared" si="11"/>
        <v>2899102</v>
      </c>
      <c r="K52" s="149">
        <v>3257215</v>
      </c>
      <c r="L52" s="150">
        <f t="shared" ref="L52:L63" si="12">J52-K52</f>
        <v>-358113</v>
      </c>
      <c r="M52" s="148"/>
    </row>
    <row r="53" spans="3:14" x14ac:dyDescent="0.35">
      <c r="C53" s="243" t="s">
        <v>63</v>
      </c>
      <c r="D53" s="243"/>
      <c r="E53" s="243"/>
      <c r="H53" s="104" t="s">
        <v>14</v>
      </c>
      <c r="I53" s="104" t="s">
        <v>18</v>
      </c>
      <c r="J53" s="148">
        <f t="shared" si="11"/>
        <v>1831205</v>
      </c>
      <c r="K53" s="149">
        <v>1757091</v>
      </c>
      <c r="L53" s="150">
        <f t="shared" si="12"/>
        <v>74114</v>
      </c>
      <c r="M53" s="148"/>
    </row>
    <row r="54" spans="3:14" x14ac:dyDescent="0.35">
      <c r="C54" s="139" t="s">
        <v>64</v>
      </c>
      <c r="D54" s="225">
        <f>'Opening Balance FEB 2026'!J4</f>
        <v>1308640</v>
      </c>
      <c r="E54" s="226"/>
      <c r="H54" s="104" t="s">
        <v>14</v>
      </c>
      <c r="I54" s="104" t="s">
        <v>19</v>
      </c>
      <c r="J54" s="148">
        <f t="shared" si="11"/>
        <v>1233100</v>
      </c>
      <c r="K54" s="149">
        <v>1296000</v>
      </c>
      <c r="L54" s="150">
        <f t="shared" si="12"/>
        <v>-62900</v>
      </c>
      <c r="M54" s="148"/>
    </row>
    <row r="55" spans="3:14" x14ac:dyDescent="0.35">
      <c r="C55" s="139" t="s">
        <v>65</v>
      </c>
      <c r="D55" s="225">
        <f>G39</f>
        <v>1073427</v>
      </c>
      <c r="E55" s="226"/>
      <c r="H55" s="104" t="s">
        <v>14</v>
      </c>
      <c r="I55" s="104" t="s">
        <v>20</v>
      </c>
      <c r="J55" s="148">
        <f t="shared" si="11"/>
        <v>1301611</v>
      </c>
      <c r="K55" s="149">
        <v>1325626</v>
      </c>
      <c r="L55" s="150">
        <f t="shared" si="12"/>
        <v>-24015</v>
      </c>
      <c r="M55" s="148"/>
    </row>
    <row r="56" spans="3:14" x14ac:dyDescent="0.35">
      <c r="C56" s="151" t="s">
        <v>45</v>
      </c>
      <c r="D56" s="244">
        <f>D54+D55</f>
        <v>2382067</v>
      </c>
      <c r="E56" s="245"/>
      <c r="H56" s="104" t="s">
        <v>14</v>
      </c>
      <c r="I56" s="104" t="s">
        <v>21</v>
      </c>
      <c r="J56" s="148">
        <f t="shared" si="11"/>
        <v>644667</v>
      </c>
      <c r="K56" s="149">
        <v>691628</v>
      </c>
      <c r="L56" s="150">
        <f t="shared" si="12"/>
        <v>-46961</v>
      </c>
    </row>
    <row r="57" spans="3:14" x14ac:dyDescent="0.35">
      <c r="C57" s="139" t="s">
        <v>66</v>
      </c>
      <c r="D57" s="235">
        <v>0</v>
      </c>
      <c r="E57" s="236"/>
      <c r="H57" s="152" t="s">
        <v>45</v>
      </c>
      <c r="I57" s="152"/>
      <c r="J57" s="153">
        <f>SUM(J51:J56)</f>
        <v>8262237</v>
      </c>
      <c r="K57" s="154">
        <v>8874004</v>
      </c>
      <c r="L57" s="150">
        <f t="shared" si="12"/>
        <v>-611767</v>
      </c>
    </row>
    <row r="58" spans="3:14" x14ac:dyDescent="0.35">
      <c r="C58" s="139" t="s">
        <v>78</v>
      </c>
      <c r="D58" s="235">
        <v>0</v>
      </c>
      <c r="E58" s="236"/>
      <c r="H58" s="152"/>
      <c r="I58" s="152"/>
      <c r="J58" s="153"/>
      <c r="K58" s="155"/>
      <c r="L58" s="150"/>
    </row>
    <row r="59" spans="3:14" x14ac:dyDescent="0.35">
      <c r="C59" s="139" t="s">
        <v>75</v>
      </c>
      <c r="D59" s="235">
        <v>10000</v>
      </c>
      <c r="E59" s="236"/>
      <c r="H59" s="147" t="s">
        <v>42</v>
      </c>
      <c r="I59" s="147" t="s">
        <v>43</v>
      </c>
      <c r="J59" s="147" t="s">
        <v>44</v>
      </c>
      <c r="K59" s="146"/>
      <c r="L59" s="150"/>
    </row>
    <row r="60" spans="3:14" x14ac:dyDescent="0.35">
      <c r="C60" s="156" t="s">
        <v>83</v>
      </c>
      <c r="D60" s="227">
        <f>SUM(D57:E59)</f>
        <v>10000</v>
      </c>
      <c r="E60" s="228"/>
      <c r="H60" s="104" t="s">
        <v>46</v>
      </c>
      <c r="I60" s="104" t="s">
        <v>48</v>
      </c>
      <c r="J60" s="148">
        <f>M13-O13-N13-L13+I13</f>
        <v>403788</v>
      </c>
      <c r="K60" s="149">
        <v>421937</v>
      </c>
      <c r="L60" s="150">
        <f t="shared" si="12"/>
        <v>-18149</v>
      </c>
    </row>
    <row r="61" spans="3:14" x14ac:dyDescent="0.35">
      <c r="C61" s="157" t="s">
        <v>67</v>
      </c>
      <c r="D61" s="229">
        <f>D56-D57-D59-D58</f>
        <v>2372067</v>
      </c>
      <c r="E61" s="230"/>
      <c r="H61" s="104" t="s">
        <v>46</v>
      </c>
      <c r="I61" s="104" t="s">
        <v>47</v>
      </c>
      <c r="J61" s="148">
        <f>M15-O15-N15-L15+I15</f>
        <v>1770917</v>
      </c>
      <c r="K61" s="149">
        <v>1657261</v>
      </c>
      <c r="L61" s="150">
        <f t="shared" si="12"/>
        <v>113656</v>
      </c>
      <c r="N61" s="148"/>
    </row>
    <row r="62" spans="3:14" x14ac:dyDescent="0.35">
      <c r="C62" s="158" t="s">
        <v>68</v>
      </c>
      <c r="D62" s="231"/>
      <c r="E62" s="232"/>
      <c r="H62" s="104" t="s">
        <v>46</v>
      </c>
      <c r="I62" s="104" t="s">
        <v>15</v>
      </c>
      <c r="J62" s="148">
        <f>M16-O16-N16-L16+I16</f>
        <v>379215</v>
      </c>
      <c r="K62" s="149">
        <v>379215</v>
      </c>
      <c r="L62" s="150">
        <f t="shared" si="12"/>
        <v>0</v>
      </c>
      <c r="M62" s="148"/>
      <c r="N62" s="148"/>
    </row>
    <row r="63" spans="3:14" x14ac:dyDescent="0.35">
      <c r="C63" s="139" t="s">
        <v>14</v>
      </c>
      <c r="D63" s="225">
        <v>0</v>
      </c>
      <c r="E63" s="226"/>
      <c r="H63" s="104" t="s">
        <v>46</v>
      </c>
      <c r="I63" s="104" t="s">
        <v>20</v>
      </c>
      <c r="J63" s="148">
        <f>M17-O17</f>
        <v>0</v>
      </c>
      <c r="K63" s="149">
        <v>0</v>
      </c>
      <c r="L63" s="150">
        <f t="shared" si="12"/>
        <v>0</v>
      </c>
    </row>
    <row r="64" spans="3:14" x14ac:dyDescent="0.35">
      <c r="C64" s="139" t="s">
        <v>72</v>
      </c>
      <c r="D64" s="225">
        <v>0</v>
      </c>
      <c r="E64" s="226"/>
      <c r="H64" s="104" t="s">
        <v>27</v>
      </c>
      <c r="I64" s="104" t="s">
        <v>47</v>
      </c>
      <c r="J64" s="148">
        <f>M20-O20-N20-L20+I20</f>
        <v>51257</v>
      </c>
      <c r="K64" s="149">
        <v>51257</v>
      </c>
      <c r="L64" s="150">
        <f>J64-K64</f>
        <v>0</v>
      </c>
    </row>
    <row r="65" spans="3:14" x14ac:dyDescent="0.35">
      <c r="C65" s="139" t="s">
        <v>69</v>
      </c>
      <c r="D65" s="225">
        <v>0</v>
      </c>
      <c r="E65" s="226"/>
      <c r="H65" s="152" t="s">
        <v>45</v>
      </c>
      <c r="I65" s="152"/>
      <c r="J65" s="153">
        <f>SUM(J60:J64)</f>
        <v>2605177</v>
      </c>
      <c r="K65" s="149">
        <f>SUM(K60:K64)</f>
        <v>2509670</v>
      </c>
      <c r="L65" s="150">
        <f>J65-K65</f>
        <v>95507</v>
      </c>
    </row>
    <row r="66" spans="3:14" x14ac:dyDescent="0.35">
      <c r="C66" s="139" t="s">
        <v>70</v>
      </c>
      <c r="D66" s="225">
        <v>0</v>
      </c>
      <c r="E66" s="226"/>
      <c r="F66" s="148"/>
      <c r="H66" s="147" t="s">
        <v>42</v>
      </c>
      <c r="I66" s="147" t="s">
        <v>43</v>
      </c>
      <c r="J66" s="147" t="s">
        <v>44</v>
      </c>
    </row>
    <row r="67" spans="3:14" x14ac:dyDescent="0.35">
      <c r="C67" s="139" t="s">
        <v>71</v>
      </c>
      <c r="D67" s="225">
        <v>0</v>
      </c>
      <c r="E67" s="226"/>
      <c r="F67" s="159"/>
      <c r="G67" s="160"/>
      <c r="H67" s="104" t="s">
        <v>49</v>
      </c>
      <c r="I67" s="104" t="s">
        <v>51</v>
      </c>
      <c r="J67" s="148">
        <f>M28-O28-N28-L28+I28</f>
        <v>1572387</v>
      </c>
      <c r="K67" s="149">
        <v>1671613</v>
      </c>
      <c r="L67" s="150">
        <f t="shared" ref="L67:L73" si="13">J67-K67</f>
        <v>-99226</v>
      </c>
      <c r="N67" s="148"/>
    </row>
    <row r="68" spans="3:14" x14ac:dyDescent="0.35">
      <c r="C68" s="157" t="s">
        <v>73</v>
      </c>
      <c r="D68" s="229">
        <f>SUM(D63:D67)</f>
        <v>0</v>
      </c>
      <c r="E68" s="230"/>
      <c r="F68" s="148"/>
      <c r="H68" s="104" t="s">
        <v>49</v>
      </c>
      <c r="I68" s="104" t="s">
        <v>18</v>
      </c>
      <c r="J68" s="148">
        <f>M29-O29-N29-L29+I29</f>
        <v>174473</v>
      </c>
      <c r="K68" s="149">
        <v>174473</v>
      </c>
      <c r="L68" s="150">
        <f t="shared" si="13"/>
        <v>0</v>
      </c>
    </row>
    <row r="69" spans="3:14" x14ac:dyDescent="0.35">
      <c r="C69" s="161" t="s">
        <v>74</v>
      </c>
      <c r="D69" s="233">
        <f>D61-D68</f>
        <v>2372067</v>
      </c>
      <c r="E69" s="234"/>
      <c r="F69" s="148"/>
      <c r="H69" s="104" t="s">
        <v>49</v>
      </c>
      <c r="I69" s="104" t="s">
        <v>15</v>
      </c>
      <c r="J69" s="148">
        <f>M30-O30-N30-L30+I30</f>
        <v>35126</v>
      </c>
      <c r="K69" s="149">
        <v>35126</v>
      </c>
      <c r="L69" s="150">
        <f t="shared" si="13"/>
        <v>0</v>
      </c>
    </row>
    <row r="70" spans="3:14" x14ac:dyDescent="0.35">
      <c r="C70" s="139"/>
      <c r="D70" s="225">
        <v>3102990</v>
      </c>
      <c r="E70" s="226"/>
      <c r="H70" s="104" t="s">
        <v>49</v>
      </c>
      <c r="I70" s="104" t="s">
        <v>50</v>
      </c>
      <c r="J70" s="148">
        <f>M31-O31-N31-L31+I31</f>
        <v>1464328</v>
      </c>
      <c r="K70" s="162">
        <v>1382171</v>
      </c>
      <c r="L70" s="150">
        <f t="shared" si="13"/>
        <v>82157</v>
      </c>
    </row>
    <row r="71" spans="3:14" x14ac:dyDescent="0.35">
      <c r="C71" s="139"/>
      <c r="D71" s="225">
        <f>D69-D70</f>
        <v>-730923</v>
      </c>
      <c r="E71" s="226"/>
      <c r="H71" s="104" t="s">
        <v>49</v>
      </c>
      <c r="I71" s="104" t="s">
        <v>20</v>
      </c>
      <c r="J71" s="148">
        <f>'Opening Balance FEB 2026'!F24</f>
        <v>66046</v>
      </c>
      <c r="K71" s="149">
        <v>66046</v>
      </c>
      <c r="L71" s="150">
        <f t="shared" si="13"/>
        <v>0</v>
      </c>
    </row>
    <row r="72" spans="3:14" x14ac:dyDescent="0.35">
      <c r="H72" s="104" t="s">
        <v>49</v>
      </c>
      <c r="I72" s="104" t="s">
        <v>47</v>
      </c>
      <c r="J72" s="148">
        <f>'Opening Balance FEB 2026'!F25</f>
        <v>23570</v>
      </c>
      <c r="K72" s="149">
        <v>23570</v>
      </c>
      <c r="L72" s="150">
        <f t="shared" si="13"/>
        <v>0</v>
      </c>
    </row>
    <row r="73" spans="3:14" x14ac:dyDescent="0.35">
      <c r="H73" s="152" t="s">
        <v>45</v>
      </c>
      <c r="I73" s="152"/>
      <c r="J73" s="153">
        <f>SUM(J67:J72)</f>
        <v>3335930</v>
      </c>
      <c r="K73" s="149">
        <v>3408572</v>
      </c>
      <c r="L73" s="150">
        <f t="shared" si="13"/>
        <v>-72642</v>
      </c>
      <c r="N73" s="148"/>
    </row>
    <row r="74" spans="3:14" x14ac:dyDescent="0.35">
      <c r="H74" s="147" t="s">
        <v>42</v>
      </c>
      <c r="I74" s="147" t="s">
        <v>43</v>
      </c>
      <c r="J74" s="147" t="s">
        <v>44</v>
      </c>
    </row>
    <row r="75" spans="3:14" x14ac:dyDescent="0.35">
      <c r="H75" s="104" t="s">
        <v>52</v>
      </c>
      <c r="I75" s="104" t="s">
        <v>53</v>
      </c>
      <c r="J75" s="148">
        <f>M22-O22-N22-L22+I22-G74</f>
        <v>33969</v>
      </c>
      <c r="K75" s="148">
        <v>33969</v>
      </c>
      <c r="L75" s="150">
        <f>J75-K75</f>
        <v>0</v>
      </c>
    </row>
    <row r="76" spans="3:14" x14ac:dyDescent="0.35">
      <c r="H76" s="104" t="s">
        <v>52</v>
      </c>
      <c r="I76" s="104" t="s">
        <v>47</v>
      </c>
      <c r="J76" s="148">
        <f>M23-O23-N23-L23+I23</f>
        <v>142892</v>
      </c>
      <c r="K76" s="162">
        <v>151366</v>
      </c>
      <c r="L76" s="150">
        <f>J76-K76</f>
        <v>-8474</v>
      </c>
    </row>
    <row r="77" spans="3:14" x14ac:dyDescent="0.35">
      <c r="H77" s="152" t="s">
        <v>45</v>
      </c>
      <c r="I77" s="152"/>
      <c r="J77" s="153">
        <f>SUM(J75:J76)</f>
        <v>176861</v>
      </c>
      <c r="K77" s="148">
        <v>160846</v>
      </c>
      <c r="L77" s="150">
        <f>J77-K77</f>
        <v>16015</v>
      </c>
    </row>
    <row r="78" spans="3:14" x14ac:dyDescent="0.35">
      <c r="G78" s="104">
        <v>0</v>
      </c>
      <c r="H78" s="147" t="s">
        <v>42</v>
      </c>
      <c r="I78" s="147" t="s">
        <v>43</v>
      </c>
      <c r="J78" s="147" t="s">
        <v>44</v>
      </c>
      <c r="K78" s="149">
        <v>0</v>
      </c>
      <c r="L78" s="150"/>
    </row>
    <row r="79" spans="3:14" x14ac:dyDescent="0.35">
      <c r="H79" s="104" t="s">
        <v>54</v>
      </c>
      <c r="I79" s="104" t="s">
        <v>53</v>
      </c>
      <c r="J79" s="148">
        <f>M25-O25-N25-L25+I25-G78</f>
        <v>89658</v>
      </c>
      <c r="K79" s="149">
        <v>89658</v>
      </c>
      <c r="L79" s="150">
        <f>J79-K79</f>
        <v>0</v>
      </c>
    </row>
    <row r="80" spans="3:14" x14ac:dyDescent="0.35">
      <c r="H80" s="104" t="s">
        <v>54</v>
      </c>
      <c r="I80" s="104" t="s">
        <v>18</v>
      </c>
      <c r="J80" s="148">
        <f>M26-O26-N26-L26+I26</f>
        <v>17000</v>
      </c>
      <c r="K80" s="149">
        <v>67000</v>
      </c>
      <c r="L80" s="150">
        <f>J80-K80</f>
        <v>-50000</v>
      </c>
    </row>
    <row r="81" spans="4:12" x14ac:dyDescent="0.35">
      <c r="H81" s="152" t="s">
        <v>45</v>
      </c>
      <c r="I81" s="152"/>
      <c r="J81" s="153">
        <f>SUM(J79:J80)</f>
        <v>106658</v>
      </c>
      <c r="K81" s="148">
        <f>SUM(K78:K80)</f>
        <v>156658</v>
      </c>
      <c r="L81" s="150">
        <f>J81-K81</f>
        <v>-50000</v>
      </c>
    </row>
    <row r="82" spans="4:12" x14ac:dyDescent="0.35">
      <c r="H82" s="147" t="s">
        <v>42</v>
      </c>
      <c r="I82" s="147" t="s">
        <v>43</v>
      </c>
      <c r="J82" s="147" t="s">
        <v>44</v>
      </c>
      <c r="K82" s="149">
        <v>0</v>
      </c>
      <c r="L82" s="150"/>
    </row>
    <row r="83" spans="4:12" x14ac:dyDescent="0.35">
      <c r="H83" s="104" t="s">
        <v>55</v>
      </c>
      <c r="I83" s="104" t="s">
        <v>56</v>
      </c>
      <c r="J83" s="148">
        <f>'Opening Balance FEB 2026'!F36</f>
        <v>103541</v>
      </c>
      <c r="K83" s="149">
        <v>103541</v>
      </c>
      <c r="L83" s="150">
        <f>J83-K83</f>
        <v>0</v>
      </c>
    </row>
    <row r="84" spans="4:12" x14ac:dyDescent="0.35">
      <c r="H84" s="104" t="s">
        <v>55</v>
      </c>
      <c r="I84" s="104" t="s">
        <v>47</v>
      </c>
      <c r="J84" s="148">
        <f>'Opening Balance FEB 2026'!F37</f>
        <v>6013</v>
      </c>
      <c r="K84" s="149">
        <v>6013</v>
      </c>
      <c r="L84" s="150">
        <f>J84-K84</f>
        <v>0</v>
      </c>
    </row>
    <row r="85" spans="4:12" x14ac:dyDescent="0.35">
      <c r="H85" s="152" t="s">
        <v>45</v>
      </c>
      <c r="I85" s="152"/>
      <c r="J85" s="153">
        <v>109554</v>
      </c>
      <c r="K85" s="148">
        <f>SUM(K82:K84)</f>
        <v>109554</v>
      </c>
      <c r="L85" s="150">
        <f>J85-K85</f>
        <v>0</v>
      </c>
    </row>
    <row r="86" spans="4:12" x14ac:dyDescent="0.35">
      <c r="H86" s="147" t="s">
        <v>42</v>
      </c>
      <c r="I86" s="147" t="s">
        <v>43</v>
      </c>
      <c r="J86" s="147" t="s">
        <v>44</v>
      </c>
      <c r="K86" s="149">
        <v>0</v>
      </c>
      <c r="L86" s="150"/>
    </row>
    <row r="87" spans="4:12" x14ac:dyDescent="0.35">
      <c r="H87" s="104" t="s">
        <v>57</v>
      </c>
      <c r="I87" s="104" t="s">
        <v>47</v>
      </c>
      <c r="J87" s="148">
        <f>'Opening Balance FEB 2026'!F40</f>
        <v>16440</v>
      </c>
      <c r="K87" s="149">
        <v>16440</v>
      </c>
      <c r="L87" s="150">
        <f>J87-K87</f>
        <v>0</v>
      </c>
    </row>
    <row r="88" spans="4:12" x14ac:dyDescent="0.35">
      <c r="H88" s="152" t="s">
        <v>45</v>
      </c>
      <c r="I88" s="152"/>
      <c r="J88" s="153">
        <v>16440</v>
      </c>
      <c r="K88" s="149">
        <f>SUM(K86:K87)</f>
        <v>16440</v>
      </c>
    </row>
    <row r="89" spans="4:12" x14ac:dyDescent="0.35">
      <c r="J89" s="148"/>
    </row>
    <row r="90" spans="4:12" x14ac:dyDescent="0.35">
      <c r="H90" s="163" t="s">
        <v>58</v>
      </c>
      <c r="I90" s="163"/>
      <c r="J90" s="164">
        <f>J88+J85+J81+J77+J73+J65+J57</f>
        <v>14612857</v>
      </c>
    </row>
    <row r="92" spans="4:12" x14ac:dyDescent="0.35">
      <c r="D92" s="165" t="s">
        <v>82</v>
      </c>
      <c r="E92" s="165"/>
      <c r="F92" s="165"/>
      <c r="G92" s="165"/>
      <c r="H92" s="165"/>
    </row>
    <row r="93" spans="4:12" x14ac:dyDescent="0.35">
      <c r="D93" s="158" t="s">
        <v>42</v>
      </c>
      <c r="E93" s="158" t="s">
        <v>43</v>
      </c>
      <c r="F93" s="158" t="s">
        <v>79</v>
      </c>
      <c r="G93" s="158" t="s">
        <v>80</v>
      </c>
      <c r="H93" s="158" t="s">
        <v>81</v>
      </c>
    </row>
    <row r="94" spans="4:12" x14ac:dyDescent="0.35">
      <c r="D94" s="139" t="s">
        <v>14</v>
      </c>
      <c r="E94" s="139" t="s">
        <v>15</v>
      </c>
      <c r="F94" s="166">
        <f>H5</f>
        <v>0</v>
      </c>
      <c r="G94" s="166">
        <f>O5</f>
        <v>63248</v>
      </c>
      <c r="H94" s="166">
        <f>I5</f>
        <v>0</v>
      </c>
    </row>
    <row r="95" spans="4:12" x14ac:dyDescent="0.35">
      <c r="D95" s="139" t="s">
        <v>14</v>
      </c>
      <c r="E95" s="139" t="s">
        <v>17</v>
      </c>
      <c r="F95" s="166">
        <f>H6</f>
        <v>44636</v>
      </c>
      <c r="G95" s="166">
        <f>O6</f>
        <v>358113</v>
      </c>
      <c r="H95" s="166">
        <f>I6</f>
        <v>0</v>
      </c>
    </row>
    <row r="96" spans="4:12" x14ac:dyDescent="0.35">
      <c r="D96" s="139" t="s">
        <v>14</v>
      </c>
      <c r="E96" s="139" t="s">
        <v>18</v>
      </c>
      <c r="F96" s="166">
        <f>H7</f>
        <v>151266</v>
      </c>
      <c r="G96" s="166">
        <f>O7</f>
        <v>65185</v>
      </c>
      <c r="H96" s="166">
        <f>I7</f>
        <v>139299</v>
      </c>
    </row>
    <row r="97" spans="4:8" x14ac:dyDescent="0.35">
      <c r="D97" s="139" t="s">
        <v>14</v>
      </c>
      <c r="E97" s="139" t="s">
        <v>19</v>
      </c>
      <c r="F97" s="166">
        <f>H8</f>
        <v>45665</v>
      </c>
      <c r="G97" s="166">
        <f>O8</f>
        <v>97306</v>
      </c>
      <c r="H97" s="166">
        <f>I8</f>
        <v>34407</v>
      </c>
    </row>
    <row r="98" spans="4:8" x14ac:dyDescent="0.35">
      <c r="D98" s="139" t="s">
        <v>14</v>
      </c>
      <c r="E98" s="139" t="s">
        <v>20</v>
      </c>
      <c r="F98" s="166">
        <f>H9</f>
        <v>49200</v>
      </c>
      <c r="G98" s="166">
        <f>O9</f>
        <v>35575</v>
      </c>
      <c r="H98" s="166">
        <f>I9</f>
        <v>14110</v>
      </c>
    </row>
    <row r="99" spans="4:8" x14ac:dyDescent="0.35">
      <c r="D99" s="139" t="s">
        <v>14</v>
      </c>
      <c r="E99" s="139" t="s">
        <v>21</v>
      </c>
      <c r="F99" s="166" t="e">
        <f>#REF!+#REF!</f>
        <v>#REF!</v>
      </c>
      <c r="G99" s="166" t="e">
        <f>#REF!</f>
        <v>#REF!</v>
      </c>
      <c r="H99" s="166" t="e">
        <f>#REF!</f>
        <v>#REF!</v>
      </c>
    </row>
    <row r="100" spans="4:8" x14ac:dyDescent="0.35">
      <c r="D100" s="167" t="s">
        <v>45</v>
      </c>
      <c r="E100" s="167"/>
      <c r="F100" s="168" t="e">
        <f>SUM(F94:F99)</f>
        <v>#REF!</v>
      </c>
      <c r="G100" s="168" t="e">
        <f t="shared" ref="G100" si="14">SUM(G94:G99)</f>
        <v>#REF!</v>
      </c>
      <c r="H100" s="168" t="e">
        <f>SUM(H94:H99)</f>
        <v>#REF!</v>
      </c>
    </row>
    <row r="101" spans="4:8" x14ac:dyDescent="0.35">
      <c r="D101" s="158" t="s">
        <v>42</v>
      </c>
      <c r="E101" s="158" t="s">
        <v>43</v>
      </c>
      <c r="F101" s="169" t="s">
        <v>79</v>
      </c>
      <c r="G101" s="169" t="s">
        <v>80</v>
      </c>
      <c r="H101" s="169" t="s">
        <v>81</v>
      </c>
    </row>
    <row r="102" spans="4:8" x14ac:dyDescent="0.35">
      <c r="D102" s="139" t="s">
        <v>46</v>
      </c>
      <c r="E102" s="139" t="s">
        <v>48</v>
      </c>
      <c r="F102" s="166">
        <f>H13</f>
        <v>37336</v>
      </c>
      <c r="G102" s="166">
        <f>O13</f>
        <v>33502</v>
      </c>
      <c r="H102" s="166">
        <f>I13</f>
        <v>15353</v>
      </c>
    </row>
    <row r="103" spans="4:8" x14ac:dyDescent="0.35">
      <c r="D103" s="139" t="s">
        <v>46</v>
      </c>
      <c r="E103" s="139" t="s">
        <v>47</v>
      </c>
      <c r="F103" s="166">
        <f>H15</f>
        <v>200685</v>
      </c>
      <c r="G103" s="166">
        <f>O15</f>
        <v>60290</v>
      </c>
      <c r="H103" s="166">
        <f>I15</f>
        <v>173946</v>
      </c>
    </row>
    <row r="104" spans="4:8" x14ac:dyDescent="0.35">
      <c r="D104" s="139" t="s">
        <v>27</v>
      </c>
      <c r="E104" s="139" t="s">
        <v>47</v>
      </c>
      <c r="F104" s="166">
        <v>0</v>
      </c>
      <c r="G104" s="166">
        <v>0</v>
      </c>
      <c r="H104" s="166">
        <v>0</v>
      </c>
    </row>
    <row r="105" spans="4:8" x14ac:dyDescent="0.35">
      <c r="D105" s="167" t="s">
        <v>45</v>
      </c>
      <c r="E105" s="167"/>
      <c r="F105" s="168">
        <f>SUM(F102:F104)</f>
        <v>238021</v>
      </c>
      <c r="G105" s="168">
        <f>SUM(G102:G104)</f>
        <v>93792</v>
      </c>
      <c r="H105" s="168">
        <f>SUM(H102:H104)</f>
        <v>189299</v>
      </c>
    </row>
    <row r="106" spans="4:8" x14ac:dyDescent="0.35">
      <c r="D106" s="158" t="s">
        <v>42</v>
      </c>
      <c r="E106" s="158" t="s">
        <v>43</v>
      </c>
      <c r="F106" s="169" t="s">
        <v>79</v>
      </c>
      <c r="G106" s="169" t="s">
        <v>80</v>
      </c>
      <c r="H106" s="169" t="s">
        <v>81</v>
      </c>
    </row>
    <row r="107" spans="4:8" x14ac:dyDescent="0.35">
      <c r="D107" s="139" t="s">
        <v>49</v>
      </c>
      <c r="E107" s="139" t="s">
        <v>51</v>
      </c>
      <c r="F107" s="166" t="e">
        <f>#REF!</f>
        <v>#REF!</v>
      </c>
      <c r="G107" s="166" t="e">
        <f>#REF!</f>
        <v>#REF!</v>
      </c>
      <c r="H107" s="166" t="e">
        <f>#REF!</f>
        <v>#REF!</v>
      </c>
    </row>
    <row r="108" spans="4:8" x14ac:dyDescent="0.35">
      <c r="D108" s="139" t="s">
        <v>49</v>
      </c>
      <c r="E108" s="139" t="s">
        <v>18</v>
      </c>
      <c r="F108" s="166">
        <f>H29</f>
        <v>0</v>
      </c>
      <c r="G108" s="166">
        <f>O29</f>
        <v>0</v>
      </c>
      <c r="H108" s="166">
        <v>0</v>
      </c>
    </row>
    <row r="109" spans="4:8" x14ac:dyDescent="0.35">
      <c r="D109" s="139" t="s">
        <v>49</v>
      </c>
      <c r="E109" s="139" t="s">
        <v>50</v>
      </c>
      <c r="F109" s="166" t="e">
        <f>#REF!+#REF!</f>
        <v>#REF!</v>
      </c>
      <c r="G109" s="166" t="e">
        <f>#REF!</f>
        <v>#REF!</v>
      </c>
      <c r="H109" s="166" t="e">
        <f>#REF!+#REF!</f>
        <v>#REF!</v>
      </c>
    </row>
    <row r="110" spans="4:8" x14ac:dyDescent="0.35">
      <c r="D110" s="167" t="s">
        <v>45</v>
      </c>
      <c r="E110" s="167"/>
      <c r="F110" s="168" t="e">
        <f>SUM(F107:F109)</f>
        <v>#REF!</v>
      </c>
      <c r="G110" s="168" t="e">
        <f>SUM(G107:G109)</f>
        <v>#REF!</v>
      </c>
      <c r="H110" s="168" t="e">
        <f>SUM(H107:H109)</f>
        <v>#REF!</v>
      </c>
    </row>
    <row r="111" spans="4:8" x14ac:dyDescent="0.35">
      <c r="D111" s="158" t="s">
        <v>42</v>
      </c>
      <c r="E111" s="158" t="s">
        <v>43</v>
      </c>
      <c r="F111" s="169" t="s">
        <v>79</v>
      </c>
      <c r="G111" s="169" t="s">
        <v>80</v>
      </c>
      <c r="H111" s="169" t="s">
        <v>81</v>
      </c>
    </row>
    <row r="112" spans="4:8" x14ac:dyDescent="0.35">
      <c r="D112" s="139" t="s">
        <v>52</v>
      </c>
      <c r="E112" s="139" t="s">
        <v>53</v>
      </c>
      <c r="F112" s="166">
        <f>H22</f>
        <v>0</v>
      </c>
      <c r="G112" s="166">
        <f>O22</f>
        <v>0</v>
      </c>
      <c r="H112" s="166">
        <f>I22</f>
        <v>0</v>
      </c>
    </row>
    <row r="113" spans="4:8" x14ac:dyDescent="0.35">
      <c r="D113" s="167" t="s">
        <v>45</v>
      </c>
      <c r="E113" s="167"/>
      <c r="F113" s="168">
        <f>SUM(F112)</f>
        <v>0</v>
      </c>
      <c r="G113" s="168">
        <f t="shared" ref="G113" si="15">SUM(G112)</f>
        <v>0</v>
      </c>
      <c r="H113" s="168">
        <f>SUM(H112)</f>
        <v>0</v>
      </c>
    </row>
    <row r="114" spans="4:8" x14ac:dyDescent="0.35">
      <c r="D114" s="158" t="s">
        <v>42</v>
      </c>
      <c r="E114" s="158" t="s">
        <v>43</v>
      </c>
      <c r="F114" s="169" t="s">
        <v>79</v>
      </c>
      <c r="G114" s="169" t="s">
        <v>80</v>
      </c>
      <c r="H114" s="169" t="s">
        <v>81</v>
      </c>
    </row>
    <row r="115" spans="4:8" x14ac:dyDescent="0.35">
      <c r="D115" s="139" t="s">
        <v>54</v>
      </c>
      <c r="E115" s="139" t="s">
        <v>53</v>
      </c>
      <c r="F115" s="166">
        <f>H25</f>
        <v>0</v>
      </c>
      <c r="G115" s="166">
        <f>O25</f>
        <v>0</v>
      </c>
      <c r="H115" s="166">
        <f>I25</f>
        <v>0</v>
      </c>
    </row>
    <row r="116" spans="4:8" x14ac:dyDescent="0.35">
      <c r="D116" s="139" t="s">
        <v>54</v>
      </c>
      <c r="E116" s="139" t="s">
        <v>18</v>
      </c>
      <c r="F116" s="166">
        <f>H26</f>
        <v>0</v>
      </c>
      <c r="G116" s="166">
        <f>O26</f>
        <v>0</v>
      </c>
      <c r="H116" s="166">
        <f>I26</f>
        <v>0</v>
      </c>
    </row>
    <row r="117" spans="4:8" x14ac:dyDescent="0.35">
      <c r="D117" s="167" t="s">
        <v>45</v>
      </c>
      <c r="E117" s="167"/>
      <c r="F117" s="168">
        <f>SUM(F115:F116)</f>
        <v>0</v>
      </c>
      <c r="G117" s="168">
        <f t="shared" ref="G117" si="16">SUM(G115:G116)</f>
        <v>0</v>
      </c>
      <c r="H117" s="168">
        <f>SUM(H115:H116)</f>
        <v>0</v>
      </c>
    </row>
    <row r="118" spans="4:8" x14ac:dyDescent="0.35">
      <c r="D118" s="170"/>
      <c r="E118" s="170"/>
      <c r="F118" s="171" t="e">
        <f>F117+F113+F110+F105+F100</f>
        <v>#REF!</v>
      </c>
      <c r="G118" s="171" t="e">
        <f t="shared" ref="G118" si="17">G117+G113+G110+G105+G100</f>
        <v>#REF!</v>
      </c>
      <c r="H118" s="171" t="e">
        <f>H117+H113+H110+H105+H100</f>
        <v>#REF!</v>
      </c>
    </row>
  </sheetData>
  <mergeCells count="43">
    <mergeCell ref="D71:E71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59:E59"/>
    <mergeCell ref="K48:L48"/>
    <mergeCell ref="M48:O48"/>
    <mergeCell ref="H49:J49"/>
    <mergeCell ref="K49:K50"/>
    <mergeCell ref="C52:E52"/>
    <mergeCell ref="C53:E53"/>
    <mergeCell ref="D54:E54"/>
    <mergeCell ref="D55:E55"/>
    <mergeCell ref="D56:E56"/>
    <mergeCell ref="D57:E57"/>
    <mergeCell ref="D58:E58"/>
    <mergeCell ref="K45:L45"/>
    <mergeCell ref="M45:O45"/>
    <mergeCell ref="K46:L46"/>
    <mergeCell ref="M46:O46"/>
    <mergeCell ref="K47:L47"/>
    <mergeCell ref="M47:O47"/>
    <mergeCell ref="M44:O44"/>
    <mergeCell ref="C2:O2"/>
    <mergeCell ref="C3:O3"/>
    <mergeCell ref="H34:I34"/>
    <mergeCell ref="K35:L35"/>
    <mergeCell ref="M35:O35"/>
    <mergeCell ref="C36:D36"/>
    <mergeCell ref="K36:L36"/>
    <mergeCell ref="K37:L37"/>
    <mergeCell ref="K38:L38"/>
    <mergeCell ref="K39:L39"/>
    <mergeCell ref="K40:L40"/>
    <mergeCell ref="K44:L44"/>
  </mergeCells>
  <pageMargins left="0.7" right="0.7" top="0.75" bottom="0.75" header="0.3" footer="0.3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7"/>
  <sheetViews>
    <sheetView topLeftCell="C1" zoomScale="54" zoomScaleNormal="54" workbookViewId="0">
      <selection activeCell="J24" sqref="J24"/>
    </sheetView>
  </sheetViews>
  <sheetFormatPr defaultRowHeight="23.25" x14ac:dyDescent="0.35"/>
  <cols>
    <col min="1" max="1" width="5.5703125" style="104" customWidth="1"/>
    <col min="2" max="2" width="0.140625" style="104" hidden="1" customWidth="1"/>
    <col min="3" max="3" width="20.85546875" style="104" customWidth="1"/>
    <col min="4" max="4" width="26.42578125" style="104" customWidth="1"/>
    <col min="5" max="5" width="27.5703125" style="104" bestFit="1" customWidth="1"/>
    <col min="6" max="6" width="32.28515625" style="104" bestFit="1" customWidth="1"/>
    <col min="7" max="7" width="26.42578125" style="104" customWidth="1"/>
    <col min="8" max="8" width="22.85546875" style="104" customWidth="1"/>
    <col min="9" max="9" width="23.5703125" style="104" customWidth="1"/>
    <col min="10" max="10" width="26.5703125" style="104" bestFit="1" customWidth="1"/>
    <col min="11" max="11" width="23.7109375" style="104" customWidth="1"/>
    <col min="12" max="12" width="22.5703125" style="104" customWidth="1"/>
    <col min="13" max="13" width="26.42578125" style="104" customWidth="1"/>
    <col min="14" max="14" width="17.5703125" style="104" customWidth="1"/>
    <col min="15" max="15" width="22" style="104" customWidth="1"/>
    <col min="16" max="16" width="7.5703125" style="104" customWidth="1"/>
    <col min="17" max="17" width="14.28515625" style="104" bestFit="1" customWidth="1"/>
    <col min="18" max="18" width="11.42578125" style="104" customWidth="1"/>
    <col min="19" max="16384" width="9.140625" style="104"/>
  </cols>
  <sheetData>
    <row r="2" spans="1:16" x14ac:dyDescent="0.35">
      <c r="C2" s="246">
        <v>46109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8"/>
    </row>
    <row r="3" spans="1:16" x14ac:dyDescent="0.35">
      <c r="C3" s="249" t="s">
        <v>0</v>
      </c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6" ht="93" x14ac:dyDescent="0.35">
      <c r="A4" s="183"/>
      <c r="C4" s="106" t="s">
        <v>1</v>
      </c>
      <c r="D4" s="106" t="s">
        <v>2</v>
      </c>
      <c r="E4" s="106" t="s">
        <v>3</v>
      </c>
      <c r="F4" s="106" t="s">
        <v>4</v>
      </c>
      <c r="G4" s="106" t="s">
        <v>5</v>
      </c>
      <c r="H4" s="106" t="s">
        <v>6</v>
      </c>
      <c r="I4" s="106" t="s">
        <v>7</v>
      </c>
      <c r="J4" s="106" t="s">
        <v>8</v>
      </c>
      <c r="K4" s="107" t="s">
        <v>9</v>
      </c>
      <c r="L4" s="107" t="s">
        <v>10</v>
      </c>
      <c r="M4" s="108" t="s">
        <v>11</v>
      </c>
      <c r="N4" s="109" t="s">
        <v>12</v>
      </c>
      <c r="O4" s="106" t="s">
        <v>13</v>
      </c>
    </row>
    <row r="5" spans="1:16" x14ac:dyDescent="0.35">
      <c r="A5" s="110"/>
      <c r="C5" s="111" t="s">
        <v>14</v>
      </c>
      <c r="D5" s="112" t="s">
        <v>15</v>
      </c>
      <c r="E5" s="113" t="s">
        <v>16</v>
      </c>
      <c r="F5" s="114">
        <v>0</v>
      </c>
      <c r="G5" s="114">
        <v>0</v>
      </c>
      <c r="H5" s="115">
        <f>F5-G5</f>
        <v>0</v>
      </c>
      <c r="I5" s="115">
        <f>H5-J5</f>
        <v>0</v>
      </c>
      <c r="J5" s="116">
        <v>0</v>
      </c>
      <c r="K5" s="117">
        <v>0</v>
      </c>
      <c r="L5" s="116">
        <v>0</v>
      </c>
      <c r="M5" s="114">
        <f>'26-03-2026'!J51</f>
        <v>352552</v>
      </c>
      <c r="N5" s="117">
        <v>0</v>
      </c>
      <c r="O5" s="118">
        <v>0</v>
      </c>
      <c r="P5" s="119"/>
    </row>
    <row r="6" spans="1:16" x14ac:dyDescent="0.35">
      <c r="A6" s="110"/>
      <c r="C6" s="111" t="s">
        <v>14</v>
      </c>
      <c r="D6" s="112" t="s">
        <v>17</v>
      </c>
      <c r="E6" s="113" t="s">
        <v>16</v>
      </c>
      <c r="F6" s="114">
        <v>0</v>
      </c>
      <c r="G6" s="114">
        <v>0</v>
      </c>
      <c r="H6" s="115">
        <f t="shared" ref="H6:H10" si="0">F6-G6</f>
        <v>0</v>
      </c>
      <c r="I6" s="115">
        <f t="shared" ref="I6:I10" si="1">H6-J6</f>
        <v>0</v>
      </c>
      <c r="J6" s="116">
        <v>0</v>
      </c>
      <c r="K6" s="117">
        <v>0</v>
      </c>
      <c r="L6" s="116">
        <v>0</v>
      </c>
      <c r="M6" s="114">
        <f>'26-03-2026'!J52</f>
        <v>2899102</v>
      </c>
      <c r="N6" s="117">
        <v>0</v>
      </c>
      <c r="O6" s="118">
        <v>534540</v>
      </c>
    </row>
    <row r="7" spans="1:16" x14ac:dyDescent="0.35">
      <c r="A7" s="110"/>
      <c r="C7" s="111" t="s">
        <v>14</v>
      </c>
      <c r="D7" s="112" t="s">
        <v>18</v>
      </c>
      <c r="E7" s="113" t="s">
        <v>97</v>
      </c>
      <c r="F7" s="114">
        <v>130925</v>
      </c>
      <c r="G7" s="114">
        <v>0</v>
      </c>
      <c r="H7" s="115">
        <f t="shared" si="0"/>
        <v>130925</v>
      </c>
      <c r="I7" s="115">
        <f t="shared" si="1"/>
        <v>10260</v>
      </c>
      <c r="J7" s="116">
        <v>120665</v>
      </c>
      <c r="K7" s="117">
        <v>0</v>
      </c>
      <c r="L7" s="116">
        <v>0</v>
      </c>
      <c r="M7" s="114">
        <f>'26-03-2026'!J53</f>
        <v>1831205</v>
      </c>
      <c r="N7" s="117">
        <v>0</v>
      </c>
      <c r="O7" s="118">
        <v>151183</v>
      </c>
    </row>
    <row r="8" spans="1:16" x14ac:dyDescent="0.35">
      <c r="A8" s="110"/>
      <c r="C8" s="111" t="s">
        <v>14</v>
      </c>
      <c r="D8" s="112" t="s">
        <v>19</v>
      </c>
      <c r="E8" s="113" t="s">
        <v>98</v>
      </c>
      <c r="F8" s="114">
        <v>205264</v>
      </c>
      <c r="G8" s="114">
        <v>0</v>
      </c>
      <c r="H8" s="115">
        <f t="shared" si="0"/>
        <v>205264</v>
      </c>
      <c r="I8" s="115">
        <f t="shared" si="1"/>
        <v>189306</v>
      </c>
      <c r="J8" s="116">
        <v>15958</v>
      </c>
      <c r="K8" s="117">
        <v>0</v>
      </c>
      <c r="L8" s="116">
        <v>0</v>
      </c>
      <c r="M8" s="114">
        <f>'26-03-2026'!J54</f>
        <v>1233100</v>
      </c>
      <c r="N8" s="117">
        <v>0</v>
      </c>
      <c r="O8" s="118">
        <v>97853</v>
      </c>
    </row>
    <row r="9" spans="1:16" x14ac:dyDescent="0.35">
      <c r="A9" s="110"/>
      <c r="C9" s="111" t="s">
        <v>14</v>
      </c>
      <c r="D9" s="112" t="s">
        <v>20</v>
      </c>
      <c r="E9" s="113" t="s">
        <v>97</v>
      </c>
      <c r="F9" s="114">
        <v>76875</v>
      </c>
      <c r="G9" s="114">
        <v>1916</v>
      </c>
      <c r="H9" s="115">
        <f t="shared" si="0"/>
        <v>74959</v>
      </c>
      <c r="I9" s="115">
        <f t="shared" si="1"/>
        <v>10100</v>
      </c>
      <c r="J9" s="116">
        <v>64859</v>
      </c>
      <c r="K9" s="117">
        <v>0</v>
      </c>
      <c r="L9" s="116">
        <v>0</v>
      </c>
      <c r="M9" s="114">
        <f>'26-03-2026'!J55</f>
        <v>1301611</v>
      </c>
      <c r="N9" s="117">
        <v>0</v>
      </c>
      <c r="O9" s="118">
        <v>59384</v>
      </c>
    </row>
    <row r="10" spans="1:16" x14ac:dyDescent="0.35">
      <c r="A10" s="110"/>
      <c r="C10" s="111" t="s">
        <v>14</v>
      </c>
      <c r="D10" s="112" t="s">
        <v>21</v>
      </c>
      <c r="E10" s="113" t="s">
        <v>98</v>
      </c>
      <c r="F10" s="114">
        <v>85168</v>
      </c>
      <c r="G10" s="114">
        <v>0</v>
      </c>
      <c r="H10" s="115">
        <f t="shared" si="0"/>
        <v>85168</v>
      </c>
      <c r="I10" s="115">
        <f t="shared" si="1"/>
        <v>70733</v>
      </c>
      <c r="J10" s="116">
        <v>14435</v>
      </c>
      <c r="K10" s="117">
        <v>0</v>
      </c>
      <c r="L10" s="116">
        <v>0</v>
      </c>
      <c r="M10" s="114">
        <f>'26-03-2026'!J56</f>
        <v>644667</v>
      </c>
      <c r="N10" s="117">
        <v>0</v>
      </c>
      <c r="O10" s="118">
        <v>0</v>
      </c>
    </row>
    <row r="11" spans="1:16" x14ac:dyDescent="0.35">
      <c r="A11" s="120"/>
      <c r="C11" s="106" t="s">
        <v>22</v>
      </c>
      <c r="D11" s="106"/>
      <c r="E11" s="106"/>
      <c r="F11" s="121">
        <f t="shared" ref="F11:O11" si="2">SUM(F5:F10)</f>
        <v>498232</v>
      </c>
      <c r="G11" s="121">
        <f t="shared" si="2"/>
        <v>1916</v>
      </c>
      <c r="H11" s="121">
        <f t="shared" si="2"/>
        <v>496316</v>
      </c>
      <c r="I11" s="121">
        <f t="shared" si="2"/>
        <v>280399</v>
      </c>
      <c r="J11" s="121">
        <f t="shared" si="2"/>
        <v>215917</v>
      </c>
      <c r="K11" s="121">
        <f t="shared" si="2"/>
        <v>0</v>
      </c>
      <c r="L11" s="121">
        <f t="shared" si="2"/>
        <v>0</v>
      </c>
      <c r="M11" s="173">
        <f t="shared" si="2"/>
        <v>8262237</v>
      </c>
      <c r="N11" s="121">
        <f t="shared" si="2"/>
        <v>0</v>
      </c>
      <c r="O11" s="121">
        <f t="shared" si="2"/>
        <v>842960</v>
      </c>
    </row>
    <row r="12" spans="1:16" x14ac:dyDescent="0.35">
      <c r="C12" s="111" t="s">
        <v>23</v>
      </c>
      <c r="D12" s="112" t="s">
        <v>24</v>
      </c>
      <c r="E12" s="113" t="s">
        <v>85</v>
      </c>
      <c r="F12" s="114">
        <v>45417</v>
      </c>
      <c r="G12" s="114">
        <v>0</v>
      </c>
      <c r="H12" s="115">
        <f t="shared" ref="H12:H30" si="3">F12-G12</f>
        <v>45417</v>
      </c>
      <c r="I12" s="115">
        <f t="shared" ref="I12:I30" si="4">H12-J12</f>
        <v>6598</v>
      </c>
      <c r="J12" s="116">
        <v>38819</v>
      </c>
      <c r="K12" s="117">
        <v>0</v>
      </c>
      <c r="L12" s="116">
        <v>0</v>
      </c>
      <c r="M12" s="114">
        <f>'26-03-2026'!J60</f>
        <v>403788</v>
      </c>
      <c r="N12" s="117">
        <v>0</v>
      </c>
      <c r="O12" s="116">
        <v>57577</v>
      </c>
    </row>
    <row r="13" spans="1:16" x14ac:dyDescent="0.35">
      <c r="C13" s="111" t="s">
        <v>23</v>
      </c>
      <c r="D13" s="112" t="s">
        <v>25</v>
      </c>
      <c r="E13" s="113" t="s">
        <v>85</v>
      </c>
      <c r="F13" s="114">
        <v>39009</v>
      </c>
      <c r="G13" s="114">
        <v>2463</v>
      </c>
      <c r="H13" s="115">
        <f t="shared" si="3"/>
        <v>36546</v>
      </c>
      <c r="I13" s="115">
        <f t="shared" si="4"/>
        <v>20742</v>
      </c>
      <c r="J13" s="116">
        <v>15804</v>
      </c>
      <c r="K13" s="117">
        <v>0</v>
      </c>
      <c r="L13" s="116">
        <v>0</v>
      </c>
      <c r="M13" s="114">
        <f>'26-03-2026'!J61</f>
        <v>1770917</v>
      </c>
      <c r="N13" s="117">
        <v>0</v>
      </c>
      <c r="O13" s="116">
        <v>263457</v>
      </c>
    </row>
    <row r="14" spans="1:16" x14ac:dyDescent="0.35">
      <c r="C14" s="111" t="s">
        <v>23</v>
      </c>
      <c r="D14" s="112" t="s">
        <v>25</v>
      </c>
      <c r="E14" s="113" t="s">
        <v>85</v>
      </c>
      <c r="F14" s="114">
        <v>147064</v>
      </c>
      <c r="G14" s="114">
        <v>0</v>
      </c>
      <c r="H14" s="115">
        <f t="shared" si="3"/>
        <v>147064</v>
      </c>
      <c r="I14" s="115">
        <f t="shared" si="4"/>
        <v>147064</v>
      </c>
      <c r="J14" s="116">
        <v>0</v>
      </c>
      <c r="K14" s="117">
        <v>0</v>
      </c>
      <c r="L14" s="116">
        <v>0</v>
      </c>
      <c r="M14" s="114">
        <v>0</v>
      </c>
      <c r="N14" s="117">
        <v>0</v>
      </c>
      <c r="O14" s="116">
        <v>0</v>
      </c>
    </row>
    <row r="15" spans="1:16" x14ac:dyDescent="0.35">
      <c r="C15" s="111" t="s">
        <v>23</v>
      </c>
      <c r="D15" s="112" t="s">
        <v>26</v>
      </c>
      <c r="E15" s="113" t="s">
        <v>16</v>
      </c>
      <c r="F15" s="114">
        <v>0</v>
      </c>
      <c r="G15" s="114">
        <v>0</v>
      </c>
      <c r="H15" s="115">
        <f t="shared" si="3"/>
        <v>0</v>
      </c>
      <c r="I15" s="115">
        <f t="shared" si="4"/>
        <v>0</v>
      </c>
      <c r="J15" s="116">
        <v>0</v>
      </c>
      <c r="K15" s="117">
        <v>0</v>
      </c>
      <c r="L15" s="116">
        <v>0</v>
      </c>
      <c r="M15" s="114">
        <f>'26-03-2026'!J62</f>
        <v>379215</v>
      </c>
      <c r="N15" s="117">
        <v>0</v>
      </c>
      <c r="O15" s="116">
        <v>0</v>
      </c>
    </row>
    <row r="16" spans="1:16" x14ac:dyDescent="0.35">
      <c r="C16" s="111" t="s">
        <v>23</v>
      </c>
      <c r="D16" s="112" t="s">
        <v>20</v>
      </c>
      <c r="E16" s="113" t="s">
        <v>16</v>
      </c>
      <c r="F16" s="114">
        <v>0</v>
      </c>
      <c r="G16" s="114">
        <v>0</v>
      </c>
      <c r="H16" s="115">
        <f t="shared" si="3"/>
        <v>0</v>
      </c>
      <c r="I16" s="115">
        <f t="shared" si="4"/>
        <v>0</v>
      </c>
      <c r="J16" s="116">
        <v>0</v>
      </c>
      <c r="K16" s="117">
        <v>0</v>
      </c>
      <c r="L16" s="116">
        <v>0</v>
      </c>
      <c r="M16" s="114">
        <v>0</v>
      </c>
      <c r="N16" s="117">
        <v>0</v>
      </c>
      <c r="O16" s="116">
        <v>0</v>
      </c>
    </row>
    <row r="17" spans="3:15" x14ac:dyDescent="0.35">
      <c r="C17" s="111" t="s">
        <v>23</v>
      </c>
      <c r="D17" s="112" t="s">
        <v>18</v>
      </c>
      <c r="E17" s="113" t="s">
        <v>16</v>
      </c>
      <c r="F17" s="114">
        <v>0</v>
      </c>
      <c r="G17" s="114">
        <v>0</v>
      </c>
      <c r="H17" s="115">
        <f t="shared" si="3"/>
        <v>0</v>
      </c>
      <c r="I17" s="115">
        <f t="shared" si="4"/>
        <v>0</v>
      </c>
      <c r="J17" s="116">
        <v>0</v>
      </c>
      <c r="K17" s="117">
        <v>0</v>
      </c>
      <c r="L17" s="116">
        <v>0</v>
      </c>
      <c r="M17" s="114">
        <v>0</v>
      </c>
      <c r="N17" s="117">
        <v>0</v>
      </c>
      <c r="O17" s="116">
        <v>0</v>
      </c>
    </row>
    <row r="18" spans="3:15" x14ac:dyDescent="0.35">
      <c r="C18" s="111" t="s">
        <v>23</v>
      </c>
      <c r="D18" s="106"/>
      <c r="E18" s="106"/>
      <c r="F18" s="121">
        <f>SUM(F12:F17)</f>
        <v>231490</v>
      </c>
      <c r="G18" s="121">
        <f>SUM(G12:G17)</f>
        <v>2463</v>
      </c>
      <c r="H18" s="121">
        <f>SUM(H12:H16)</f>
        <v>229027</v>
      </c>
      <c r="I18" s="121">
        <f>SUM(I12:I16)</f>
        <v>174404</v>
      </c>
      <c r="J18" s="121">
        <f>SUM(J12:J17)</f>
        <v>54623</v>
      </c>
      <c r="K18" s="121">
        <f>SUM(K12:K16)</f>
        <v>0</v>
      </c>
      <c r="L18" s="121">
        <f>SUM(L12:L16)</f>
        <v>0</v>
      </c>
      <c r="M18" s="121">
        <f>SUM(M12:M17)</f>
        <v>2553920</v>
      </c>
      <c r="N18" s="121">
        <f>SUM(N12:N16)</f>
        <v>0</v>
      </c>
      <c r="O18" s="121">
        <f>SUM(O12:O17)</f>
        <v>321034</v>
      </c>
    </row>
    <row r="19" spans="3:15" x14ac:dyDescent="0.35">
      <c r="C19" s="111" t="s">
        <v>27</v>
      </c>
      <c r="D19" s="112" t="s">
        <v>25</v>
      </c>
      <c r="E19" s="113" t="s">
        <v>16</v>
      </c>
      <c r="F19" s="114">
        <v>0</v>
      </c>
      <c r="G19" s="114">
        <v>0</v>
      </c>
      <c r="H19" s="115">
        <f t="shared" si="3"/>
        <v>0</v>
      </c>
      <c r="I19" s="115">
        <f t="shared" si="4"/>
        <v>0</v>
      </c>
      <c r="J19" s="116">
        <v>0</v>
      </c>
      <c r="K19" s="117">
        <v>0</v>
      </c>
      <c r="L19" s="116">
        <v>0</v>
      </c>
      <c r="M19" s="114">
        <f>'26-03-2026'!J64</f>
        <v>51257</v>
      </c>
      <c r="N19" s="117">
        <v>0</v>
      </c>
      <c r="O19" s="116">
        <v>0</v>
      </c>
    </row>
    <row r="20" spans="3:15" x14ac:dyDescent="0.35">
      <c r="C20" s="106"/>
      <c r="D20" s="106"/>
      <c r="E20" s="106"/>
      <c r="F20" s="121">
        <f>SUM(F19)</f>
        <v>0</v>
      </c>
      <c r="G20" s="121">
        <f t="shared" ref="G20:O20" si="5">SUM(G19)</f>
        <v>0</v>
      </c>
      <c r="H20" s="121">
        <f t="shared" si="5"/>
        <v>0</v>
      </c>
      <c r="I20" s="121">
        <f t="shared" si="5"/>
        <v>0</v>
      </c>
      <c r="J20" s="121">
        <f t="shared" si="5"/>
        <v>0</v>
      </c>
      <c r="K20" s="121">
        <f t="shared" si="5"/>
        <v>0</v>
      </c>
      <c r="L20" s="121">
        <f t="shared" si="5"/>
        <v>0</v>
      </c>
      <c r="M20" s="121">
        <f>SUM(M19)</f>
        <v>51257</v>
      </c>
      <c r="N20" s="121">
        <f t="shared" si="5"/>
        <v>0</v>
      </c>
      <c r="O20" s="121">
        <f t="shared" si="5"/>
        <v>0</v>
      </c>
    </row>
    <row r="21" spans="3:15" x14ac:dyDescent="0.35">
      <c r="C21" s="111" t="s">
        <v>28</v>
      </c>
      <c r="D21" s="112" t="s">
        <v>29</v>
      </c>
      <c r="E21" s="113" t="s">
        <v>16</v>
      </c>
      <c r="F21" s="114">
        <v>0</v>
      </c>
      <c r="G21" s="114">
        <v>0</v>
      </c>
      <c r="H21" s="115">
        <f t="shared" si="3"/>
        <v>0</v>
      </c>
      <c r="I21" s="115">
        <f t="shared" si="4"/>
        <v>0</v>
      </c>
      <c r="J21" s="116">
        <v>0</v>
      </c>
      <c r="K21" s="117">
        <v>0</v>
      </c>
      <c r="L21" s="116">
        <v>0</v>
      </c>
      <c r="M21" s="114">
        <f>'26-03-2026'!J75</f>
        <v>33969</v>
      </c>
      <c r="N21" s="117">
        <v>0</v>
      </c>
      <c r="O21" s="116">
        <v>0</v>
      </c>
    </row>
    <row r="22" spans="3:15" x14ac:dyDescent="0.35">
      <c r="C22" s="111" t="s">
        <v>28</v>
      </c>
      <c r="D22" s="112" t="s">
        <v>25</v>
      </c>
      <c r="E22" s="113" t="s">
        <v>16</v>
      </c>
      <c r="F22" s="114">
        <v>0</v>
      </c>
      <c r="G22" s="114">
        <v>0</v>
      </c>
      <c r="H22" s="115">
        <f t="shared" si="3"/>
        <v>0</v>
      </c>
      <c r="I22" s="115">
        <f t="shared" si="4"/>
        <v>0</v>
      </c>
      <c r="J22" s="116">
        <v>0</v>
      </c>
      <c r="K22" s="117">
        <v>0</v>
      </c>
      <c r="L22" s="116">
        <v>0</v>
      </c>
      <c r="M22" s="114">
        <f>'26-03-2026'!J76</f>
        <v>142892</v>
      </c>
      <c r="N22" s="117">
        <v>0</v>
      </c>
      <c r="O22" s="116">
        <v>0</v>
      </c>
    </row>
    <row r="23" spans="3:15" x14ac:dyDescent="0.35">
      <c r="C23" s="106" t="s">
        <v>22</v>
      </c>
      <c r="D23" s="106"/>
      <c r="E23" s="106"/>
      <c r="F23" s="121">
        <f t="shared" ref="F23:L23" si="6">SUM(F21:F22)</f>
        <v>0</v>
      </c>
      <c r="G23" s="121">
        <f t="shared" si="6"/>
        <v>0</v>
      </c>
      <c r="H23" s="121">
        <f t="shared" si="6"/>
        <v>0</v>
      </c>
      <c r="I23" s="121">
        <f t="shared" si="6"/>
        <v>0</v>
      </c>
      <c r="J23" s="121">
        <f t="shared" si="6"/>
        <v>0</v>
      </c>
      <c r="K23" s="121">
        <f>SUM(K21:K22)</f>
        <v>0</v>
      </c>
      <c r="L23" s="121">
        <f t="shared" si="6"/>
        <v>0</v>
      </c>
      <c r="M23" s="121">
        <f>SUM(M21:M22)</f>
        <v>176861</v>
      </c>
      <c r="N23" s="121">
        <f t="shared" ref="N23:O23" si="7">SUM(N21:N22)</f>
        <v>0</v>
      </c>
      <c r="O23" s="121">
        <f t="shared" si="7"/>
        <v>0</v>
      </c>
    </row>
    <row r="24" spans="3:15" x14ac:dyDescent="0.35">
      <c r="C24" s="111" t="s">
        <v>30</v>
      </c>
      <c r="D24" s="112" t="s">
        <v>29</v>
      </c>
      <c r="E24" s="113" t="s">
        <v>16</v>
      </c>
      <c r="F24" s="122">
        <v>0</v>
      </c>
      <c r="G24" s="122">
        <v>0</v>
      </c>
      <c r="H24" s="115">
        <f t="shared" si="3"/>
        <v>0</v>
      </c>
      <c r="I24" s="115">
        <f t="shared" si="4"/>
        <v>0</v>
      </c>
      <c r="J24" s="123">
        <v>0</v>
      </c>
      <c r="K24" s="124">
        <v>0</v>
      </c>
      <c r="L24" s="123">
        <v>0</v>
      </c>
      <c r="M24" s="122">
        <f>'26-03-2026'!J79</f>
        <v>89658</v>
      </c>
      <c r="N24" s="124">
        <v>0</v>
      </c>
      <c r="O24" s="123">
        <v>0</v>
      </c>
    </row>
    <row r="25" spans="3:15" x14ac:dyDescent="0.35">
      <c r="C25" s="111" t="s">
        <v>30</v>
      </c>
      <c r="D25" s="112" t="s">
        <v>31</v>
      </c>
      <c r="E25" s="113" t="s">
        <v>16</v>
      </c>
      <c r="F25" s="122">
        <v>0</v>
      </c>
      <c r="G25" s="122">
        <v>0</v>
      </c>
      <c r="H25" s="115">
        <f t="shared" si="3"/>
        <v>0</v>
      </c>
      <c r="I25" s="115">
        <f t="shared" si="4"/>
        <v>0</v>
      </c>
      <c r="J25" s="123">
        <v>0</v>
      </c>
      <c r="K25" s="124">
        <v>0</v>
      </c>
      <c r="L25" s="123">
        <v>0</v>
      </c>
      <c r="M25" s="122">
        <f>'26-03-2026'!J80</f>
        <v>17000</v>
      </c>
      <c r="N25" s="124">
        <v>0</v>
      </c>
      <c r="O25" s="123">
        <v>0</v>
      </c>
    </row>
    <row r="26" spans="3:15" x14ac:dyDescent="0.35">
      <c r="C26" s="106" t="s">
        <v>22</v>
      </c>
      <c r="D26" s="106"/>
      <c r="E26" s="106"/>
      <c r="F26" s="121">
        <f>SUM(F24:F25)</f>
        <v>0</v>
      </c>
      <c r="G26" s="121">
        <f t="shared" ref="G26:O26" si="8">SUM(G24:G25)</f>
        <v>0</v>
      </c>
      <c r="H26" s="121">
        <f t="shared" si="8"/>
        <v>0</v>
      </c>
      <c r="I26" s="121">
        <f t="shared" si="8"/>
        <v>0</v>
      </c>
      <c r="J26" s="121">
        <f t="shared" si="8"/>
        <v>0</v>
      </c>
      <c r="K26" s="121">
        <f t="shared" si="8"/>
        <v>0</v>
      </c>
      <c r="L26" s="121">
        <f t="shared" si="8"/>
        <v>0</v>
      </c>
      <c r="M26" s="121">
        <f t="shared" si="8"/>
        <v>106658</v>
      </c>
      <c r="N26" s="121">
        <f t="shared" si="8"/>
        <v>0</v>
      </c>
      <c r="O26" s="121">
        <f t="shared" si="8"/>
        <v>0</v>
      </c>
    </row>
    <row r="27" spans="3:15" x14ac:dyDescent="0.35">
      <c r="C27" s="111" t="s">
        <v>32</v>
      </c>
      <c r="D27" s="112" t="s">
        <v>33</v>
      </c>
      <c r="E27" s="113" t="s">
        <v>97</v>
      </c>
      <c r="F27" s="125">
        <v>251286</v>
      </c>
      <c r="G27" s="114">
        <v>0</v>
      </c>
      <c r="H27" s="115">
        <f t="shared" si="3"/>
        <v>251286</v>
      </c>
      <c r="I27" s="115">
        <f t="shared" si="4"/>
        <v>216286</v>
      </c>
      <c r="J27" s="116">
        <v>35000</v>
      </c>
      <c r="K27" s="117">
        <v>0</v>
      </c>
      <c r="L27" s="116">
        <v>0</v>
      </c>
      <c r="M27" s="114">
        <f>'26-03-2026'!J67</f>
        <v>1572387</v>
      </c>
      <c r="N27" s="117">
        <v>0</v>
      </c>
      <c r="O27" s="116">
        <v>66000</v>
      </c>
    </row>
    <row r="28" spans="3:15" x14ac:dyDescent="0.35">
      <c r="C28" s="111" t="s">
        <v>32</v>
      </c>
      <c r="D28" s="112" t="s">
        <v>31</v>
      </c>
      <c r="E28" s="113" t="s">
        <v>16</v>
      </c>
      <c r="F28" s="125">
        <v>0</v>
      </c>
      <c r="G28" s="114">
        <v>0</v>
      </c>
      <c r="H28" s="115">
        <f t="shared" si="3"/>
        <v>0</v>
      </c>
      <c r="I28" s="115">
        <f t="shared" si="4"/>
        <v>0</v>
      </c>
      <c r="J28" s="116">
        <v>0</v>
      </c>
      <c r="K28" s="117">
        <v>0</v>
      </c>
      <c r="L28" s="116">
        <v>0</v>
      </c>
      <c r="M28" s="114">
        <f>'26-03-2026'!J68</f>
        <v>174473</v>
      </c>
      <c r="N28" s="117">
        <v>0</v>
      </c>
      <c r="O28" s="116">
        <v>0</v>
      </c>
    </row>
    <row r="29" spans="3:15" x14ac:dyDescent="0.35">
      <c r="C29" s="111" t="s">
        <v>32</v>
      </c>
      <c r="D29" s="112" t="s">
        <v>26</v>
      </c>
      <c r="E29" s="113" t="s">
        <v>16</v>
      </c>
      <c r="F29" s="125">
        <v>0</v>
      </c>
      <c r="G29" s="114">
        <v>0</v>
      </c>
      <c r="H29" s="115">
        <f t="shared" si="3"/>
        <v>0</v>
      </c>
      <c r="I29" s="115">
        <f t="shared" si="4"/>
        <v>0</v>
      </c>
      <c r="J29" s="116">
        <v>0</v>
      </c>
      <c r="K29" s="117">
        <v>0</v>
      </c>
      <c r="L29" s="116">
        <v>0</v>
      </c>
      <c r="M29" s="114">
        <f>'26-03-2026'!J69</f>
        <v>35126</v>
      </c>
      <c r="N29" s="117">
        <v>0</v>
      </c>
      <c r="O29" s="116">
        <v>0</v>
      </c>
    </row>
    <row r="30" spans="3:15" x14ac:dyDescent="0.35">
      <c r="C30" s="111" t="s">
        <v>32</v>
      </c>
      <c r="D30" s="112" t="s">
        <v>34</v>
      </c>
      <c r="E30" s="113" t="s">
        <v>50</v>
      </c>
      <c r="F30" s="125">
        <v>4635</v>
      </c>
      <c r="G30" s="114">
        <v>0</v>
      </c>
      <c r="H30" s="115">
        <f t="shared" si="3"/>
        <v>4635</v>
      </c>
      <c r="I30" s="115">
        <f t="shared" si="4"/>
        <v>4635</v>
      </c>
      <c r="J30" s="116">
        <v>0</v>
      </c>
      <c r="K30" s="117">
        <v>0</v>
      </c>
      <c r="L30" s="116">
        <v>0</v>
      </c>
      <c r="M30" s="114">
        <f>'26-03-2026'!J70</f>
        <v>1464328</v>
      </c>
      <c r="N30" s="117">
        <v>0</v>
      </c>
      <c r="O30" s="116">
        <v>151509</v>
      </c>
    </row>
    <row r="31" spans="3:15" x14ac:dyDescent="0.35">
      <c r="C31" s="106" t="s">
        <v>22</v>
      </c>
      <c r="D31" s="106"/>
      <c r="E31" s="106"/>
      <c r="F31" s="121">
        <f t="shared" ref="F31:O31" si="9">SUM(F27:F30)</f>
        <v>255921</v>
      </c>
      <c r="G31" s="121">
        <f t="shared" si="9"/>
        <v>0</v>
      </c>
      <c r="H31" s="121">
        <f t="shared" si="9"/>
        <v>255921</v>
      </c>
      <c r="I31" s="121">
        <f t="shared" si="9"/>
        <v>220921</v>
      </c>
      <c r="J31" s="121">
        <f t="shared" si="9"/>
        <v>35000</v>
      </c>
      <c r="K31" s="121">
        <f t="shared" si="9"/>
        <v>0</v>
      </c>
      <c r="L31" s="121">
        <f t="shared" si="9"/>
        <v>0</v>
      </c>
      <c r="M31" s="121">
        <f t="shared" si="9"/>
        <v>3246314</v>
      </c>
      <c r="N31" s="121">
        <f t="shared" si="9"/>
        <v>0</v>
      </c>
      <c r="O31" s="121">
        <f t="shared" si="9"/>
        <v>217509</v>
      </c>
    </row>
    <row r="32" spans="3:15" x14ac:dyDescent="0.35">
      <c r="C32" s="126" t="s">
        <v>35</v>
      </c>
      <c r="D32" s="126"/>
      <c r="E32" s="126"/>
      <c r="F32" s="127">
        <f t="shared" ref="F32:O32" si="10">F31+F26+F23+F20+F18+F11</f>
        <v>985643</v>
      </c>
      <c r="G32" s="127">
        <f t="shared" si="10"/>
        <v>4379</v>
      </c>
      <c r="H32" s="127">
        <f t="shared" si="10"/>
        <v>981264</v>
      </c>
      <c r="I32" s="127">
        <f t="shared" si="10"/>
        <v>675724</v>
      </c>
      <c r="J32" s="127">
        <f t="shared" si="10"/>
        <v>305540</v>
      </c>
      <c r="K32" s="127">
        <f t="shared" si="10"/>
        <v>0</v>
      </c>
      <c r="L32" s="127">
        <f t="shared" si="10"/>
        <v>0</v>
      </c>
      <c r="M32" s="127">
        <f t="shared" si="10"/>
        <v>14397247</v>
      </c>
      <c r="N32" s="127">
        <f t="shared" si="10"/>
        <v>0</v>
      </c>
      <c r="O32" s="127">
        <f t="shared" si="10"/>
        <v>1381503</v>
      </c>
    </row>
    <row r="33" spans="3:15" x14ac:dyDescent="0.35">
      <c r="F33" s="128" t="s">
        <v>36</v>
      </c>
      <c r="G33" s="116">
        <f>O11+L11+J11-K11</f>
        <v>1058877</v>
      </c>
      <c r="H33" s="252"/>
      <c r="I33" s="253"/>
      <c r="J33" s="129"/>
      <c r="K33" s="130"/>
      <c r="L33" s="130"/>
    </row>
    <row r="34" spans="3:15" x14ac:dyDescent="0.35">
      <c r="F34" s="131" t="s">
        <v>37</v>
      </c>
      <c r="G34" s="116">
        <f>O18+L18+J18-K18+O20+L20+J20-K20</f>
        <v>375657</v>
      </c>
      <c r="H34" s="132"/>
      <c r="I34" s="133" t="s">
        <v>89</v>
      </c>
      <c r="J34" s="133" t="s">
        <v>90</v>
      </c>
      <c r="K34" s="239" t="s">
        <v>88</v>
      </c>
      <c r="L34" s="238"/>
      <c r="M34" s="254" t="s">
        <v>87</v>
      </c>
      <c r="N34" s="255"/>
      <c r="O34" s="256"/>
    </row>
    <row r="35" spans="3:15" x14ac:dyDescent="0.35">
      <c r="C35" s="257" t="s">
        <v>68</v>
      </c>
      <c r="D35" s="258"/>
      <c r="F35" s="134" t="s">
        <v>38</v>
      </c>
      <c r="G35" s="116">
        <f>O23+L23+J23-K23</f>
        <v>0</v>
      </c>
      <c r="H35" s="132"/>
      <c r="I35" s="133"/>
      <c r="J35" s="135"/>
      <c r="K35" s="239"/>
      <c r="L35" s="238"/>
      <c r="M35" s="136"/>
      <c r="N35" s="137"/>
      <c r="O35" s="138"/>
    </row>
    <row r="36" spans="3:15" x14ac:dyDescent="0.35">
      <c r="C36" s="139"/>
      <c r="D36" s="139"/>
      <c r="F36" s="140" t="s">
        <v>30</v>
      </c>
      <c r="G36" s="116">
        <f>O26+L26+J26-K26</f>
        <v>0</v>
      </c>
      <c r="H36" s="132"/>
      <c r="I36" s="141"/>
      <c r="J36" s="135"/>
      <c r="K36" s="239"/>
      <c r="L36" s="238"/>
      <c r="M36" s="136"/>
      <c r="N36" s="137"/>
      <c r="O36" s="138"/>
    </row>
    <row r="37" spans="3:15" x14ac:dyDescent="0.35">
      <c r="C37" s="139"/>
      <c r="D37" s="139"/>
      <c r="F37" s="128" t="s">
        <v>39</v>
      </c>
      <c r="G37" s="116">
        <f>O31+L31+J31-K31</f>
        <v>252509</v>
      </c>
      <c r="H37" s="132"/>
      <c r="I37" s="141"/>
      <c r="J37" s="135"/>
      <c r="K37" s="239"/>
      <c r="L37" s="238"/>
      <c r="M37" s="136"/>
      <c r="N37" s="137"/>
      <c r="O37" s="138"/>
    </row>
    <row r="38" spans="3:15" x14ac:dyDescent="0.35">
      <c r="C38" s="139"/>
      <c r="D38" s="139"/>
      <c r="F38" s="142" t="s">
        <v>40</v>
      </c>
      <c r="G38" s="143">
        <f>SUM(G33:G37)</f>
        <v>1687043</v>
      </c>
      <c r="I38" s="139"/>
      <c r="J38" s="135"/>
      <c r="K38" s="239"/>
      <c r="L38" s="238"/>
      <c r="M38" s="136"/>
      <c r="N38" s="137"/>
      <c r="O38" s="138"/>
    </row>
    <row r="39" spans="3:15" x14ac:dyDescent="0.35">
      <c r="C39" s="139"/>
      <c r="D39" s="139"/>
      <c r="F39" s="144"/>
      <c r="G39" s="184"/>
      <c r="I39" s="139"/>
      <c r="J39" s="135"/>
      <c r="K39" s="239"/>
      <c r="L39" s="238"/>
      <c r="M39" s="136"/>
      <c r="N39" s="137"/>
      <c r="O39" s="138"/>
    </row>
    <row r="40" spans="3:15" x14ac:dyDescent="0.35">
      <c r="C40" s="139"/>
      <c r="D40" s="139"/>
      <c r="F40" s="144"/>
      <c r="G40" s="184"/>
      <c r="I40" s="139"/>
      <c r="J40" s="135"/>
      <c r="K40" s="137"/>
      <c r="L40" s="137"/>
      <c r="M40" s="136"/>
      <c r="N40" s="137"/>
      <c r="O40" s="138"/>
    </row>
    <row r="41" spans="3:15" x14ac:dyDescent="0.35">
      <c r="C41" s="139"/>
      <c r="D41" s="139"/>
      <c r="F41" s="144"/>
      <c r="G41" s="145"/>
      <c r="I41" s="139"/>
      <c r="J41" s="135"/>
      <c r="K41" s="137"/>
      <c r="L41" s="137"/>
      <c r="M41" s="136"/>
      <c r="N41" s="137"/>
      <c r="O41" s="138"/>
    </row>
    <row r="42" spans="3:15" x14ac:dyDescent="0.35">
      <c r="C42" s="139"/>
      <c r="D42" s="139"/>
      <c r="F42" s="144"/>
      <c r="G42" s="145"/>
      <c r="I42" s="139"/>
      <c r="J42" s="135"/>
      <c r="K42" s="137"/>
      <c r="L42" s="137"/>
      <c r="M42" s="136"/>
      <c r="N42" s="137"/>
      <c r="O42" s="138"/>
    </row>
    <row r="43" spans="3:15" x14ac:dyDescent="0.35">
      <c r="C43" s="139"/>
      <c r="D43" s="139"/>
      <c r="F43" s="144"/>
      <c r="G43" s="145"/>
      <c r="I43" s="139"/>
      <c r="J43" s="135"/>
      <c r="K43" s="237"/>
      <c r="L43" s="238"/>
      <c r="M43" s="237"/>
      <c r="N43" s="239"/>
      <c r="O43" s="238"/>
    </row>
    <row r="44" spans="3:15" x14ac:dyDescent="0.35">
      <c r="C44" s="139"/>
      <c r="D44" s="139"/>
      <c r="F44" s="144"/>
      <c r="G44" s="145"/>
      <c r="I44" s="139"/>
      <c r="J44" s="133"/>
      <c r="K44" s="237"/>
      <c r="L44" s="238"/>
      <c r="M44" s="237"/>
      <c r="N44" s="239"/>
      <c r="O44" s="238"/>
    </row>
    <row r="45" spans="3:15" x14ac:dyDescent="0.35">
      <c r="C45" s="139"/>
      <c r="D45" s="139"/>
      <c r="F45" s="144"/>
      <c r="G45" s="145"/>
      <c r="I45" s="139"/>
      <c r="J45" s="133"/>
      <c r="K45" s="237"/>
      <c r="L45" s="238"/>
      <c r="M45" s="237"/>
      <c r="N45" s="239"/>
      <c r="O45" s="238"/>
    </row>
    <row r="46" spans="3:15" x14ac:dyDescent="0.35">
      <c r="C46" s="139"/>
      <c r="D46" s="139"/>
      <c r="F46" s="144"/>
      <c r="G46" s="145"/>
      <c r="I46" s="139"/>
      <c r="J46" s="133"/>
      <c r="K46" s="237"/>
      <c r="L46" s="238"/>
      <c r="M46" s="237"/>
      <c r="N46" s="239"/>
      <c r="O46" s="238"/>
    </row>
    <row r="47" spans="3:15" x14ac:dyDescent="0.35">
      <c r="C47" s="139"/>
      <c r="D47" s="139"/>
      <c r="F47" s="144"/>
      <c r="G47" s="145"/>
      <c r="I47" s="139"/>
      <c r="J47" s="133"/>
      <c r="K47" s="237"/>
      <c r="L47" s="238"/>
      <c r="M47" s="237"/>
      <c r="N47" s="239"/>
      <c r="O47" s="238"/>
    </row>
    <row r="48" spans="3:15" x14ac:dyDescent="0.35">
      <c r="H48" s="240" t="s">
        <v>41</v>
      </c>
      <c r="I48" s="240"/>
      <c r="J48" s="240"/>
      <c r="K48" s="241"/>
      <c r="L48" s="110"/>
      <c r="M48" s="146"/>
    </row>
    <row r="49" spans="3:14" x14ac:dyDescent="0.35">
      <c r="H49" s="147" t="s">
        <v>42</v>
      </c>
      <c r="I49" s="147" t="s">
        <v>43</v>
      </c>
      <c r="J49" s="147" t="s">
        <v>44</v>
      </c>
      <c r="K49" s="241"/>
      <c r="L49" s="146"/>
    </row>
    <row r="50" spans="3:14" x14ac:dyDescent="0.35">
      <c r="F50" s="148"/>
      <c r="H50" s="104" t="s">
        <v>14</v>
      </c>
      <c r="I50" s="104" t="s">
        <v>15</v>
      </c>
      <c r="J50" s="148">
        <f t="shared" ref="J50:J55" si="11">M5-O5-N5-L5+I5</f>
        <v>352552</v>
      </c>
      <c r="K50" s="149">
        <v>415800</v>
      </c>
      <c r="L50" s="150">
        <f>J50-K50</f>
        <v>-63248</v>
      </c>
      <c r="M50" s="148"/>
    </row>
    <row r="51" spans="3:14" x14ac:dyDescent="0.35">
      <c r="C51" s="242">
        <v>45931</v>
      </c>
      <c r="D51" s="242"/>
      <c r="E51" s="242"/>
      <c r="H51" s="104" t="s">
        <v>14</v>
      </c>
      <c r="I51" s="104" t="s">
        <v>17</v>
      </c>
      <c r="J51" s="148">
        <f t="shared" si="11"/>
        <v>2364562</v>
      </c>
      <c r="K51" s="149">
        <v>3257215</v>
      </c>
      <c r="L51" s="150">
        <f t="shared" ref="L51:L62" si="12">J51-K51</f>
        <v>-892653</v>
      </c>
      <c r="M51" s="148"/>
    </row>
    <row r="52" spans="3:14" x14ac:dyDescent="0.35">
      <c r="C52" s="243" t="s">
        <v>63</v>
      </c>
      <c r="D52" s="243"/>
      <c r="E52" s="243"/>
      <c r="H52" s="104" t="s">
        <v>14</v>
      </c>
      <c r="I52" s="104" t="s">
        <v>18</v>
      </c>
      <c r="J52" s="148">
        <f t="shared" si="11"/>
        <v>1690282</v>
      </c>
      <c r="K52" s="149">
        <v>1757091</v>
      </c>
      <c r="L52" s="150">
        <f t="shared" si="12"/>
        <v>-66809</v>
      </c>
      <c r="M52" s="148"/>
    </row>
    <row r="53" spans="3:14" x14ac:dyDescent="0.35">
      <c r="C53" s="139" t="s">
        <v>64</v>
      </c>
      <c r="D53" s="225">
        <f>'Opening Balance FEB 2026'!J4</f>
        <v>1308640</v>
      </c>
      <c r="E53" s="226"/>
      <c r="H53" s="104" t="s">
        <v>14</v>
      </c>
      <c r="I53" s="104" t="s">
        <v>19</v>
      </c>
      <c r="J53" s="148">
        <f t="shared" si="11"/>
        <v>1324553</v>
      </c>
      <c r="K53" s="149">
        <v>1296000</v>
      </c>
      <c r="L53" s="150">
        <f t="shared" si="12"/>
        <v>28553</v>
      </c>
      <c r="M53" s="148"/>
    </row>
    <row r="54" spans="3:14" x14ac:dyDescent="0.35">
      <c r="C54" s="139" t="s">
        <v>65</v>
      </c>
      <c r="D54" s="225">
        <f>G38</f>
        <v>1687043</v>
      </c>
      <c r="E54" s="226"/>
      <c r="H54" s="104" t="s">
        <v>14</v>
      </c>
      <c r="I54" s="104" t="s">
        <v>20</v>
      </c>
      <c r="J54" s="148">
        <f t="shared" si="11"/>
        <v>1252327</v>
      </c>
      <c r="K54" s="149">
        <v>1325626</v>
      </c>
      <c r="L54" s="150">
        <f t="shared" si="12"/>
        <v>-73299</v>
      </c>
      <c r="M54" s="148"/>
    </row>
    <row r="55" spans="3:14" x14ac:dyDescent="0.35">
      <c r="C55" s="151" t="s">
        <v>45</v>
      </c>
      <c r="D55" s="244">
        <f>D53+D54</f>
        <v>2995683</v>
      </c>
      <c r="E55" s="245"/>
      <c r="H55" s="104" t="s">
        <v>14</v>
      </c>
      <c r="I55" s="104" t="s">
        <v>21</v>
      </c>
      <c r="J55" s="148">
        <f t="shared" si="11"/>
        <v>715400</v>
      </c>
      <c r="K55" s="149">
        <v>691628</v>
      </c>
      <c r="L55" s="150">
        <f t="shared" si="12"/>
        <v>23772</v>
      </c>
    </row>
    <row r="56" spans="3:14" x14ac:dyDescent="0.35">
      <c r="C56" s="139" t="s">
        <v>66</v>
      </c>
      <c r="D56" s="235">
        <v>0</v>
      </c>
      <c r="E56" s="236"/>
      <c r="H56" s="152" t="s">
        <v>45</v>
      </c>
      <c r="I56" s="152"/>
      <c r="J56" s="153">
        <f>SUM(J50:J55)</f>
        <v>7699676</v>
      </c>
      <c r="K56" s="154">
        <v>7699644</v>
      </c>
      <c r="L56" s="150">
        <f t="shared" si="12"/>
        <v>32</v>
      </c>
    </row>
    <row r="57" spans="3:14" x14ac:dyDescent="0.35">
      <c r="C57" s="139" t="s">
        <v>78</v>
      </c>
      <c r="D57" s="235">
        <v>0</v>
      </c>
      <c r="E57" s="236"/>
      <c r="H57" s="152"/>
      <c r="I57" s="152"/>
      <c r="J57" s="153"/>
      <c r="K57" s="155"/>
      <c r="L57" s="150"/>
    </row>
    <row r="58" spans="3:14" x14ac:dyDescent="0.35">
      <c r="C58" s="139" t="s">
        <v>75</v>
      </c>
      <c r="D58" s="235">
        <v>10000</v>
      </c>
      <c r="E58" s="236"/>
      <c r="H58" s="147" t="s">
        <v>42</v>
      </c>
      <c r="I58" s="147" t="s">
        <v>43</v>
      </c>
      <c r="J58" s="147" t="s">
        <v>44</v>
      </c>
      <c r="K58" s="146"/>
      <c r="L58" s="150"/>
    </row>
    <row r="59" spans="3:14" x14ac:dyDescent="0.35">
      <c r="C59" s="156" t="s">
        <v>83</v>
      </c>
      <c r="D59" s="227">
        <f>SUM(D56:E58)</f>
        <v>10000</v>
      </c>
      <c r="E59" s="228"/>
      <c r="H59" s="104" t="s">
        <v>46</v>
      </c>
      <c r="I59" s="104" t="s">
        <v>48</v>
      </c>
      <c r="J59" s="148">
        <f>M12-O12-N12-L12+I12</f>
        <v>352809</v>
      </c>
      <c r="K59" s="149">
        <v>352809</v>
      </c>
      <c r="L59" s="150">
        <f t="shared" si="12"/>
        <v>0</v>
      </c>
    </row>
    <row r="60" spans="3:14" x14ac:dyDescent="0.35">
      <c r="C60" s="157" t="s">
        <v>67</v>
      </c>
      <c r="D60" s="229">
        <f>D55-D56-D58-D57</f>
        <v>2985683</v>
      </c>
      <c r="E60" s="230"/>
      <c r="H60" s="104" t="s">
        <v>46</v>
      </c>
      <c r="I60" s="104" t="s">
        <v>47</v>
      </c>
      <c r="J60" s="148">
        <f>M13-O13-N13-L13+I13+I14</f>
        <v>1675266</v>
      </c>
      <c r="K60" s="149">
        <v>1675266</v>
      </c>
      <c r="L60" s="150">
        <f t="shared" si="12"/>
        <v>0</v>
      </c>
      <c r="N60" s="148"/>
    </row>
    <row r="61" spans="3:14" x14ac:dyDescent="0.35">
      <c r="C61" s="158" t="s">
        <v>68</v>
      </c>
      <c r="D61" s="231"/>
      <c r="E61" s="232"/>
      <c r="H61" s="104" t="s">
        <v>46</v>
      </c>
      <c r="I61" s="104" t="s">
        <v>15</v>
      </c>
      <c r="J61" s="148">
        <f>M15-O15-N15-L15+I15</f>
        <v>379215</v>
      </c>
      <c r="K61" s="149">
        <v>379215</v>
      </c>
      <c r="L61" s="150">
        <f t="shared" si="12"/>
        <v>0</v>
      </c>
      <c r="M61" s="148"/>
      <c r="N61" s="148"/>
    </row>
    <row r="62" spans="3:14" x14ac:dyDescent="0.35">
      <c r="C62" s="139" t="s">
        <v>14</v>
      </c>
      <c r="D62" s="225">
        <v>0</v>
      </c>
      <c r="E62" s="226"/>
      <c r="H62" s="104" t="s">
        <v>46</v>
      </c>
      <c r="I62" s="104" t="s">
        <v>20</v>
      </c>
      <c r="J62" s="148">
        <f>M16-O16</f>
        <v>0</v>
      </c>
      <c r="K62" s="149">
        <v>0</v>
      </c>
      <c r="L62" s="150">
        <f t="shared" si="12"/>
        <v>0</v>
      </c>
    </row>
    <row r="63" spans="3:14" x14ac:dyDescent="0.35">
      <c r="C63" s="139" t="s">
        <v>72</v>
      </c>
      <c r="D63" s="225">
        <v>0</v>
      </c>
      <c r="E63" s="226"/>
      <c r="H63" s="104" t="s">
        <v>27</v>
      </c>
      <c r="I63" s="104" t="s">
        <v>47</v>
      </c>
      <c r="J63" s="148">
        <f>M19-O19-N19-L19+I19</f>
        <v>51257</v>
      </c>
      <c r="K63" s="149">
        <v>51257</v>
      </c>
      <c r="L63" s="150">
        <f>J63-K63</f>
        <v>0</v>
      </c>
    </row>
    <row r="64" spans="3:14" x14ac:dyDescent="0.35">
      <c r="C64" s="139" t="s">
        <v>69</v>
      </c>
      <c r="D64" s="225">
        <v>0</v>
      </c>
      <c r="E64" s="226"/>
      <c r="H64" s="152" t="s">
        <v>45</v>
      </c>
      <c r="I64" s="152"/>
      <c r="J64" s="153">
        <f>SUM(J59:J63)</f>
        <v>2458547</v>
      </c>
      <c r="K64" s="149">
        <f>SUM(K59:K63)</f>
        <v>2458547</v>
      </c>
      <c r="L64" s="150">
        <f>J64-K64</f>
        <v>0</v>
      </c>
    </row>
    <row r="65" spans="3:14" x14ac:dyDescent="0.35">
      <c r="C65" s="139" t="s">
        <v>70</v>
      </c>
      <c r="D65" s="225">
        <v>0</v>
      </c>
      <c r="E65" s="226"/>
      <c r="F65" s="148"/>
      <c r="H65" s="147" t="s">
        <v>42</v>
      </c>
      <c r="I65" s="147" t="s">
        <v>43</v>
      </c>
      <c r="J65" s="147" t="s">
        <v>44</v>
      </c>
    </row>
    <row r="66" spans="3:14" x14ac:dyDescent="0.35">
      <c r="C66" s="139" t="s">
        <v>71</v>
      </c>
      <c r="D66" s="225">
        <v>0</v>
      </c>
      <c r="E66" s="226"/>
      <c r="F66" s="159"/>
      <c r="G66" s="160"/>
      <c r="H66" s="104" t="s">
        <v>49</v>
      </c>
      <c r="I66" s="104" t="s">
        <v>51</v>
      </c>
      <c r="J66" s="148">
        <f>M27-O27-N27-L27+I27</f>
        <v>1722673</v>
      </c>
      <c r="K66" s="149">
        <v>1671613</v>
      </c>
      <c r="L66" s="150">
        <f t="shared" ref="L66:L72" si="13">J66-K66</f>
        <v>51060</v>
      </c>
      <c r="N66" s="148"/>
    </row>
    <row r="67" spans="3:14" x14ac:dyDescent="0.35">
      <c r="C67" s="157" t="s">
        <v>73</v>
      </c>
      <c r="D67" s="229">
        <f>SUM(D62:D66)</f>
        <v>0</v>
      </c>
      <c r="E67" s="230"/>
      <c r="F67" s="148"/>
      <c r="H67" s="104" t="s">
        <v>49</v>
      </c>
      <c r="I67" s="104" t="s">
        <v>18</v>
      </c>
      <c r="J67" s="148">
        <f>M28-O28-N28-L28+I28</f>
        <v>174473</v>
      </c>
      <c r="K67" s="149">
        <v>174473</v>
      </c>
      <c r="L67" s="150">
        <f t="shared" si="13"/>
        <v>0</v>
      </c>
    </row>
    <row r="68" spans="3:14" x14ac:dyDescent="0.35">
      <c r="C68" s="161" t="s">
        <v>74</v>
      </c>
      <c r="D68" s="233">
        <f>D60-D67</f>
        <v>2985683</v>
      </c>
      <c r="E68" s="234"/>
      <c r="F68" s="148"/>
      <c r="H68" s="104" t="s">
        <v>49</v>
      </c>
      <c r="I68" s="104" t="s">
        <v>15</v>
      </c>
      <c r="J68" s="148">
        <f>M29-O29-N29-L29+I29</f>
        <v>35126</v>
      </c>
      <c r="K68" s="149">
        <v>35126</v>
      </c>
      <c r="L68" s="150">
        <f t="shared" si="13"/>
        <v>0</v>
      </c>
    </row>
    <row r="69" spans="3:14" x14ac:dyDescent="0.35">
      <c r="C69" s="139"/>
      <c r="D69" s="225">
        <v>3102990</v>
      </c>
      <c r="E69" s="226"/>
      <c r="H69" s="104" t="s">
        <v>49</v>
      </c>
      <c r="I69" s="104" t="s">
        <v>50</v>
      </c>
      <c r="J69" s="148">
        <f>M30-O30-N30-L30+I30</f>
        <v>1317454</v>
      </c>
      <c r="K69" s="162">
        <v>1382171</v>
      </c>
      <c r="L69" s="150">
        <f t="shared" si="13"/>
        <v>-64717</v>
      </c>
    </row>
    <row r="70" spans="3:14" x14ac:dyDescent="0.35">
      <c r="C70" s="139"/>
      <c r="D70" s="225">
        <f>D68-D69</f>
        <v>-117307</v>
      </c>
      <c r="E70" s="226"/>
      <c r="H70" s="104" t="s">
        <v>49</v>
      </c>
      <c r="I70" s="104" t="s">
        <v>20</v>
      </c>
      <c r="J70" s="148">
        <f>'Opening Balance FEB 2026'!F24</f>
        <v>66046</v>
      </c>
      <c r="K70" s="149">
        <v>66046</v>
      </c>
      <c r="L70" s="150">
        <f t="shared" si="13"/>
        <v>0</v>
      </c>
    </row>
    <row r="71" spans="3:14" x14ac:dyDescent="0.35">
      <c r="H71" s="104" t="s">
        <v>49</v>
      </c>
      <c r="I71" s="104" t="s">
        <v>47</v>
      </c>
      <c r="J71" s="148">
        <f>'Opening Balance FEB 2026'!F25</f>
        <v>23570</v>
      </c>
      <c r="K71" s="149">
        <v>23570</v>
      </c>
      <c r="L71" s="150">
        <f t="shared" si="13"/>
        <v>0</v>
      </c>
    </row>
    <row r="72" spans="3:14" x14ac:dyDescent="0.35">
      <c r="H72" s="152" t="s">
        <v>45</v>
      </c>
      <c r="I72" s="152"/>
      <c r="J72" s="153">
        <f>SUM(J66:J71)</f>
        <v>3339342</v>
      </c>
      <c r="K72" s="149">
        <v>3334342</v>
      </c>
      <c r="L72" s="150">
        <f t="shared" si="13"/>
        <v>5000</v>
      </c>
      <c r="N72" s="148"/>
    </row>
    <row r="73" spans="3:14" x14ac:dyDescent="0.35">
      <c r="H73" s="147" t="s">
        <v>42</v>
      </c>
      <c r="I73" s="147" t="s">
        <v>43</v>
      </c>
      <c r="J73" s="147" t="s">
        <v>44</v>
      </c>
    </row>
    <row r="74" spans="3:14" x14ac:dyDescent="0.35">
      <c r="H74" s="104" t="s">
        <v>52</v>
      </c>
      <c r="I74" s="104" t="s">
        <v>53</v>
      </c>
      <c r="J74" s="148">
        <f>M21-O21-N21-L21+I21-G73</f>
        <v>33969</v>
      </c>
      <c r="K74" s="148">
        <v>33969</v>
      </c>
      <c r="L74" s="150">
        <f>J74-K74</f>
        <v>0</v>
      </c>
    </row>
    <row r="75" spans="3:14" x14ac:dyDescent="0.35">
      <c r="H75" s="104" t="s">
        <v>52</v>
      </c>
      <c r="I75" s="104" t="s">
        <v>47</v>
      </c>
      <c r="J75" s="148">
        <f>M22-O22-N22-L22+I22</f>
        <v>142892</v>
      </c>
      <c r="K75" s="162">
        <v>151366</v>
      </c>
      <c r="L75" s="150">
        <f>J75-K75</f>
        <v>-8474</v>
      </c>
    </row>
    <row r="76" spans="3:14" x14ac:dyDescent="0.35">
      <c r="H76" s="152" t="s">
        <v>45</v>
      </c>
      <c r="I76" s="152"/>
      <c r="J76" s="153">
        <f>SUM(J74:J75)</f>
        <v>176861</v>
      </c>
      <c r="K76" s="148">
        <v>160846</v>
      </c>
      <c r="L76" s="150">
        <f>J76-K76</f>
        <v>16015</v>
      </c>
    </row>
    <row r="77" spans="3:14" x14ac:dyDescent="0.35">
      <c r="G77" s="104">
        <v>0</v>
      </c>
      <c r="H77" s="147" t="s">
        <v>42</v>
      </c>
      <c r="I77" s="147" t="s">
        <v>43</v>
      </c>
      <c r="J77" s="147" t="s">
        <v>44</v>
      </c>
      <c r="K77" s="149">
        <v>0</v>
      </c>
      <c r="L77" s="150"/>
    </row>
    <row r="78" spans="3:14" x14ac:dyDescent="0.35">
      <c r="H78" s="104" t="s">
        <v>54</v>
      </c>
      <c r="I78" s="104" t="s">
        <v>53</v>
      </c>
      <c r="J78" s="148">
        <f>M24-O24-N24-L24+I24-G77</f>
        <v>89658</v>
      </c>
      <c r="K78" s="149">
        <v>89658</v>
      </c>
      <c r="L78" s="150">
        <f>J78-K78</f>
        <v>0</v>
      </c>
    </row>
    <row r="79" spans="3:14" x14ac:dyDescent="0.35">
      <c r="H79" s="104" t="s">
        <v>54</v>
      </c>
      <c r="I79" s="104" t="s">
        <v>18</v>
      </c>
      <c r="J79" s="148">
        <f>M25-O25-N25-L25+I25</f>
        <v>17000</v>
      </c>
      <c r="K79" s="149">
        <v>67000</v>
      </c>
      <c r="L79" s="150">
        <f>J79-K79</f>
        <v>-50000</v>
      </c>
    </row>
    <row r="80" spans="3:14" x14ac:dyDescent="0.35">
      <c r="H80" s="152" t="s">
        <v>45</v>
      </c>
      <c r="I80" s="152"/>
      <c r="J80" s="153">
        <f>SUM(J78:J79)</f>
        <v>106658</v>
      </c>
      <c r="K80" s="148">
        <f>SUM(K77:K79)</f>
        <v>156658</v>
      </c>
      <c r="L80" s="150">
        <f>J80-K80</f>
        <v>-50000</v>
      </c>
    </row>
    <row r="81" spans="4:12" x14ac:dyDescent="0.35">
      <c r="H81" s="147" t="s">
        <v>42</v>
      </c>
      <c r="I81" s="147" t="s">
        <v>43</v>
      </c>
      <c r="J81" s="147" t="s">
        <v>44</v>
      </c>
      <c r="K81" s="149">
        <v>0</v>
      </c>
      <c r="L81" s="150"/>
    </row>
    <row r="82" spans="4:12" x14ac:dyDescent="0.35">
      <c r="H82" s="104" t="s">
        <v>55</v>
      </c>
      <c r="I82" s="104" t="s">
        <v>56</v>
      </c>
      <c r="J82" s="148">
        <f>'Opening Balance FEB 2026'!F36</f>
        <v>103541</v>
      </c>
      <c r="K82" s="149">
        <v>103541</v>
      </c>
      <c r="L82" s="150">
        <f>J82-K82</f>
        <v>0</v>
      </c>
    </row>
    <row r="83" spans="4:12" x14ac:dyDescent="0.35">
      <c r="H83" s="104" t="s">
        <v>55</v>
      </c>
      <c r="I83" s="104" t="s">
        <v>47</v>
      </c>
      <c r="J83" s="148">
        <f>'Opening Balance FEB 2026'!F37</f>
        <v>6013</v>
      </c>
      <c r="K83" s="149">
        <v>6013</v>
      </c>
      <c r="L83" s="150">
        <f>J83-K83</f>
        <v>0</v>
      </c>
    </row>
    <row r="84" spans="4:12" x14ac:dyDescent="0.35">
      <c r="H84" s="152" t="s">
        <v>45</v>
      </c>
      <c r="I84" s="152"/>
      <c r="J84" s="153">
        <v>109554</v>
      </c>
      <c r="K84" s="148">
        <f>SUM(K81:K83)</f>
        <v>109554</v>
      </c>
      <c r="L84" s="150">
        <f>J84-K84</f>
        <v>0</v>
      </c>
    </row>
    <row r="85" spans="4:12" x14ac:dyDescent="0.35">
      <c r="H85" s="147" t="s">
        <v>42</v>
      </c>
      <c r="I85" s="147" t="s">
        <v>43</v>
      </c>
      <c r="J85" s="147" t="s">
        <v>44</v>
      </c>
      <c r="K85" s="149">
        <v>0</v>
      </c>
      <c r="L85" s="150"/>
    </row>
    <row r="86" spans="4:12" x14ac:dyDescent="0.35">
      <c r="H86" s="104" t="s">
        <v>57</v>
      </c>
      <c r="I86" s="104" t="s">
        <v>47</v>
      </c>
      <c r="J86" s="148">
        <f>'Opening Balance FEB 2026'!F40</f>
        <v>16440</v>
      </c>
      <c r="K86" s="149">
        <v>16440</v>
      </c>
      <c r="L86" s="150">
        <f>J86-K86</f>
        <v>0</v>
      </c>
    </row>
    <row r="87" spans="4:12" x14ac:dyDescent="0.35">
      <c r="H87" s="152" t="s">
        <v>45</v>
      </c>
      <c r="I87" s="152"/>
      <c r="J87" s="153">
        <v>16440</v>
      </c>
      <c r="K87" s="149">
        <f>SUM(K85:K86)</f>
        <v>16440</v>
      </c>
    </row>
    <row r="88" spans="4:12" x14ac:dyDescent="0.35">
      <c r="J88" s="148"/>
    </row>
    <row r="89" spans="4:12" x14ac:dyDescent="0.35">
      <c r="H89" s="163" t="s">
        <v>58</v>
      </c>
      <c r="I89" s="163"/>
      <c r="J89" s="164">
        <f>J87+J84+J80+J76+J72+J64+J56</f>
        <v>13907078</v>
      </c>
    </row>
    <row r="91" spans="4:12" x14ac:dyDescent="0.35">
      <c r="D91" s="165" t="s">
        <v>82</v>
      </c>
      <c r="E91" s="165"/>
      <c r="F91" s="165"/>
      <c r="G91" s="165"/>
      <c r="H91" s="165"/>
    </row>
    <row r="92" spans="4:12" x14ac:dyDescent="0.35">
      <c r="D92" s="158" t="s">
        <v>42</v>
      </c>
      <c r="E92" s="158" t="s">
        <v>43</v>
      </c>
      <c r="F92" s="158" t="s">
        <v>79</v>
      </c>
      <c r="G92" s="158" t="s">
        <v>80</v>
      </c>
      <c r="H92" s="158" t="s">
        <v>81</v>
      </c>
    </row>
    <row r="93" spans="4:12" x14ac:dyDescent="0.35">
      <c r="D93" s="139" t="s">
        <v>14</v>
      </c>
      <c r="E93" s="139" t="s">
        <v>15</v>
      </c>
      <c r="F93" s="166">
        <f>H5</f>
        <v>0</v>
      </c>
      <c r="G93" s="166">
        <f>O5</f>
        <v>0</v>
      </c>
      <c r="H93" s="166">
        <f>I5</f>
        <v>0</v>
      </c>
    </row>
    <row r="94" spans="4:12" x14ac:dyDescent="0.35">
      <c r="D94" s="139" t="s">
        <v>14</v>
      </c>
      <c r="E94" s="139" t="s">
        <v>17</v>
      </c>
      <c r="F94" s="166">
        <f>H6</f>
        <v>0</v>
      </c>
      <c r="G94" s="166">
        <f>O6</f>
        <v>534540</v>
      </c>
      <c r="H94" s="166">
        <f>I6</f>
        <v>0</v>
      </c>
    </row>
    <row r="95" spans="4:12" x14ac:dyDescent="0.35">
      <c r="D95" s="139" t="s">
        <v>14</v>
      </c>
      <c r="E95" s="139" t="s">
        <v>18</v>
      </c>
      <c r="F95" s="166">
        <f>H7</f>
        <v>130925</v>
      </c>
      <c r="G95" s="166">
        <f>O7</f>
        <v>151183</v>
      </c>
      <c r="H95" s="166">
        <f>I7</f>
        <v>10260</v>
      </c>
    </row>
    <row r="96" spans="4:12" x14ac:dyDescent="0.35">
      <c r="D96" s="139" t="s">
        <v>14</v>
      </c>
      <c r="E96" s="139" t="s">
        <v>19</v>
      </c>
      <c r="F96" s="166">
        <f>H8</f>
        <v>205264</v>
      </c>
      <c r="G96" s="166">
        <f>O8</f>
        <v>97853</v>
      </c>
      <c r="H96" s="166">
        <f>I8</f>
        <v>189306</v>
      </c>
    </row>
    <row r="97" spans="4:8" x14ac:dyDescent="0.35">
      <c r="D97" s="139" t="s">
        <v>14</v>
      </c>
      <c r="E97" s="139" t="s">
        <v>20</v>
      </c>
      <c r="F97" s="166">
        <f>H9</f>
        <v>74959</v>
      </c>
      <c r="G97" s="166">
        <f>O9</f>
        <v>59384</v>
      </c>
      <c r="H97" s="166">
        <f>I9</f>
        <v>10100</v>
      </c>
    </row>
    <row r="98" spans="4:8" x14ac:dyDescent="0.35">
      <c r="D98" s="139" t="s">
        <v>14</v>
      </c>
      <c r="E98" s="139" t="s">
        <v>21</v>
      </c>
      <c r="F98" s="166" t="e">
        <f>#REF!+#REF!</f>
        <v>#REF!</v>
      </c>
      <c r="G98" s="166" t="e">
        <f>#REF!</f>
        <v>#REF!</v>
      </c>
      <c r="H98" s="166" t="e">
        <f>#REF!</f>
        <v>#REF!</v>
      </c>
    </row>
    <row r="99" spans="4:8" x14ac:dyDescent="0.35">
      <c r="D99" s="167" t="s">
        <v>45</v>
      </c>
      <c r="E99" s="167"/>
      <c r="F99" s="168" t="e">
        <f>SUM(F93:F98)</f>
        <v>#REF!</v>
      </c>
      <c r="G99" s="168" t="e">
        <f t="shared" ref="G99" si="14">SUM(G93:G98)</f>
        <v>#REF!</v>
      </c>
      <c r="H99" s="168" t="e">
        <f>SUM(H93:H98)</f>
        <v>#REF!</v>
      </c>
    </row>
    <row r="100" spans="4:8" x14ac:dyDescent="0.35">
      <c r="D100" s="158" t="s">
        <v>42</v>
      </c>
      <c r="E100" s="158" t="s">
        <v>43</v>
      </c>
      <c r="F100" s="169" t="s">
        <v>79</v>
      </c>
      <c r="G100" s="169" t="s">
        <v>80</v>
      </c>
      <c r="H100" s="169" t="s">
        <v>81</v>
      </c>
    </row>
    <row r="101" spans="4:8" x14ac:dyDescent="0.35">
      <c r="D101" s="139" t="s">
        <v>46</v>
      </c>
      <c r="E101" s="139" t="s">
        <v>48</v>
      </c>
      <c r="F101" s="166">
        <f>H12</f>
        <v>45417</v>
      </c>
      <c r="G101" s="166">
        <f>O12</f>
        <v>57577</v>
      </c>
      <c r="H101" s="166">
        <f>I12</f>
        <v>6598</v>
      </c>
    </row>
    <row r="102" spans="4:8" x14ac:dyDescent="0.35">
      <c r="D102" s="139" t="s">
        <v>46</v>
      </c>
      <c r="E102" s="139" t="s">
        <v>47</v>
      </c>
      <c r="F102" s="166">
        <f>H13</f>
        <v>36546</v>
      </c>
      <c r="G102" s="166">
        <f>O13</f>
        <v>263457</v>
      </c>
      <c r="H102" s="166">
        <f>I13</f>
        <v>20742</v>
      </c>
    </row>
    <row r="103" spans="4:8" x14ac:dyDescent="0.35">
      <c r="D103" s="139" t="s">
        <v>27</v>
      </c>
      <c r="E103" s="139" t="s">
        <v>47</v>
      </c>
      <c r="F103" s="166">
        <v>0</v>
      </c>
      <c r="G103" s="166">
        <v>0</v>
      </c>
      <c r="H103" s="166">
        <v>0</v>
      </c>
    </row>
    <row r="104" spans="4:8" x14ac:dyDescent="0.35">
      <c r="D104" s="167" t="s">
        <v>45</v>
      </c>
      <c r="E104" s="167"/>
      <c r="F104" s="168">
        <f>SUM(F101:F103)</f>
        <v>81963</v>
      </c>
      <c r="G104" s="168">
        <f>SUM(G101:G103)</f>
        <v>321034</v>
      </c>
      <c r="H104" s="168">
        <f>SUM(H101:H103)</f>
        <v>27340</v>
      </c>
    </row>
    <row r="105" spans="4:8" x14ac:dyDescent="0.35">
      <c r="D105" s="158" t="s">
        <v>42</v>
      </c>
      <c r="E105" s="158" t="s">
        <v>43</v>
      </c>
      <c r="F105" s="169" t="s">
        <v>79</v>
      </c>
      <c r="G105" s="169" t="s">
        <v>80</v>
      </c>
      <c r="H105" s="169" t="s">
        <v>81</v>
      </c>
    </row>
    <row r="106" spans="4:8" x14ac:dyDescent="0.35">
      <c r="D106" s="139" t="s">
        <v>49</v>
      </c>
      <c r="E106" s="139" t="s">
        <v>51</v>
      </c>
      <c r="F106" s="166" t="e">
        <f>#REF!</f>
        <v>#REF!</v>
      </c>
      <c r="G106" s="166" t="e">
        <f>#REF!</f>
        <v>#REF!</v>
      </c>
      <c r="H106" s="166" t="e">
        <f>#REF!</f>
        <v>#REF!</v>
      </c>
    </row>
    <row r="107" spans="4:8" x14ac:dyDescent="0.35">
      <c r="D107" s="139" t="s">
        <v>49</v>
      </c>
      <c r="E107" s="139" t="s">
        <v>18</v>
      </c>
      <c r="F107" s="166">
        <f>H28</f>
        <v>0</v>
      </c>
      <c r="G107" s="166">
        <f>O28</f>
        <v>0</v>
      </c>
      <c r="H107" s="166">
        <v>0</v>
      </c>
    </row>
    <row r="108" spans="4:8" x14ac:dyDescent="0.35">
      <c r="D108" s="139" t="s">
        <v>49</v>
      </c>
      <c r="E108" s="139" t="s">
        <v>50</v>
      </c>
      <c r="F108" s="166" t="e">
        <f>#REF!+#REF!</f>
        <v>#REF!</v>
      </c>
      <c r="G108" s="166" t="e">
        <f>#REF!</f>
        <v>#REF!</v>
      </c>
      <c r="H108" s="166" t="e">
        <f>#REF!+#REF!</f>
        <v>#REF!</v>
      </c>
    </row>
    <row r="109" spans="4:8" x14ac:dyDescent="0.35">
      <c r="D109" s="167" t="s">
        <v>45</v>
      </c>
      <c r="E109" s="167"/>
      <c r="F109" s="168" t="e">
        <f>SUM(F106:F108)</f>
        <v>#REF!</v>
      </c>
      <c r="G109" s="168" t="e">
        <f>SUM(G106:G108)</f>
        <v>#REF!</v>
      </c>
      <c r="H109" s="168" t="e">
        <f>SUM(H106:H108)</f>
        <v>#REF!</v>
      </c>
    </row>
    <row r="110" spans="4:8" x14ac:dyDescent="0.35">
      <c r="D110" s="158" t="s">
        <v>42</v>
      </c>
      <c r="E110" s="158" t="s">
        <v>43</v>
      </c>
      <c r="F110" s="169" t="s">
        <v>79</v>
      </c>
      <c r="G110" s="169" t="s">
        <v>80</v>
      </c>
      <c r="H110" s="169" t="s">
        <v>81</v>
      </c>
    </row>
    <row r="111" spans="4:8" x14ac:dyDescent="0.35">
      <c r="D111" s="139" t="s">
        <v>52</v>
      </c>
      <c r="E111" s="139" t="s">
        <v>53</v>
      </c>
      <c r="F111" s="166">
        <f>H21</f>
        <v>0</v>
      </c>
      <c r="G111" s="166">
        <f>O21</f>
        <v>0</v>
      </c>
      <c r="H111" s="166">
        <f>I21</f>
        <v>0</v>
      </c>
    </row>
    <row r="112" spans="4:8" x14ac:dyDescent="0.35">
      <c r="D112" s="167" t="s">
        <v>45</v>
      </c>
      <c r="E112" s="167"/>
      <c r="F112" s="168">
        <f>SUM(F111)</f>
        <v>0</v>
      </c>
      <c r="G112" s="168">
        <f t="shared" ref="G112" si="15">SUM(G111)</f>
        <v>0</v>
      </c>
      <c r="H112" s="168">
        <f>SUM(H111)</f>
        <v>0</v>
      </c>
    </row>
    <row r="113" spans="4:8" x14ac:dyDescent="0.35">
      <c r="D113" s="158" t="s">
        <v>42</v>
      </c>
      <c r="E113" s="158" t="s">
        <v>43</v>
      </c>
      <c r="F113" s="169" t="s">
        <v>79</v>
      </c>
      <c r="G113" s="169" t="s">
        <v>80</v>
      </c>
      <c r="H113" s="169" t="s">
        <v>81</v>
      </c>
    </row>
    <row r="114" spans="4:8" x14ac:dyDescent="0.35">
      <c r="D114" s="139" t="s">
        <v>54</v>
      </c>
      <c r="E114" s="139" t="s">
        <v>53</v>
      </c>
      <c r="F114" s="166">
        <f>H24</f>
        <v>0</v>
      </c>
      <c r="G114" s="166">
        <f>O24</f>
        <v>0</v>
      </c>
      <c r="H114" s="166">
        <f>I24</f>
        <v>0</v>
      </c>
    </row>
    <row r="115" spans="4:8" x14ac:dyDescent="0.35">
      <c r="D115" s="139" t="s">
        <v>54</v>
      </c>
      <c r="E115" s="139" t="s">
        <v>18</v>
      </c>
      <c r="F115" s="166">
        <f>H25</f>
        <v>0</v>
      </c>
      <c r="G115" s="166">
        <f>O25</f>
        <v>0</v>
      </c>
      <c r="H115" s="166">
        <f>I25</f>
        <v>0</v>
      </c>
    </row>
    <row r="116" spans="4:8" x14ac:dyDescent="0.35">
      <c r="D116" s="167" t="s">
        <v>45</v>
      </c>
      <c r="E116" s="167"/>
      <c r="F116" s="168">
        <f>SUM(F114:F115)</f>
        <v>0</v>
      </c>
      <c r="G116" s="168">
        <f t="shared" ref="G116" si="16">SUM(G114:G115)</f>
        <v>0</v>
      </c>
      <c r="H116" s="168">
        <f>SUM(H114:H115)</f>
        <v>0</v>
      </c>
    </row>
    <row r="117" spans="4:8" x14ac:dyDescent="0.35">
      <c r="D117" s="170"/>
      <c r="E117" s="170"/>
      <c r="F117" s="171" t="e">
        <f>F116+F112+F109+F104+F99</f>
        <v>#REF!</v>
      </c>
      <c r="G117" s="171" t="e">
        <f t="shared" ref="G117" si="17">G116+G112+G109+G104+G99</f>
        <v>#REF!</v>
      </c>
      <c r="H117" s="171" t="e">
        <f>H116+H112+H109+H104+H99</f>
        <v>#REF!</v>
      </c>
    </row>
  </sheetData>
  <mergeCells count="43">
    <mergeCell ref="M43:O43"/>
    <mergeCell ref="C2:O2"/>
    <mergeCell ref="C3:O3"/>
    <mergeCell ref="H33:I33"/>
    <mergeCell ref="K34:L34"/>
    <mergeCell ref="M34:O34"/>
    <mergeCell ref="C35:D35"/>
    <mergeCell ref="K35:L35"/>
    <mergeCell ref="K36:L36"/>
    <mergeCell ref="K37:L37"/>
    <mergeCell ref="K38:L38"/>
    <mergeCell ref="K39:L39"/>
    <mergeCell ref="K43:L43"/>
    <mergeCell ref="K44:L44"/>
    <mergeCell ref="M44:O44"/>
    <mergeCell ref="K45:L45"/>
    <mergeCell ref="M45:O45"/>
    <mergeCell ref="K46:L46"/>
    <mergeCell ref="M46:O46"/>
    <mergeCell ref="D58:E58"/>
    <mergeCell ref="K47:L47"/>
    <mergeCell ref="M47:O47"/>
    <mergeCell ref="H48:J48"/>
    <mergeCell ref="K48:K49"/>
    <mergeCell ref="C51:E51"/>
    <mergeCell ref="C52:E52"/>
    <mergeCell ref="D53:E53"/>
    <mergeCell ref="D54:E54"/>
    <mergeCell ref="D55:E55"/>
    <mergeCell ref="D56:E56"/>
    <mergeCell ref="D57:E57"/>
    <mergeCell ref="D70:E70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</mergeCells>
  <pageMargins left="0.7" right="0.7" top="0.75" bottom="0.75" header="0.3" footer="0.3"/>
  <pageSetup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8"/>
  <sheetViews>
    <sheetView zoomScale="50" zoomScaleNormal="50" workbookViewId="0">
      <selection activeCell="F6" sqref="F6"/>
    </sheetView>
  </sheetViews>
  <sheetFormatPr defaultRowHeight="23.25" x14ac:dyDescent="0.35"/>
  <cols>
    <col min="1" max="1" width="5.5703125" style="104" customWidth="1"/>
    <col min="2" max="2" width="0.140625" style="104" hidden="1" customWidth="1"/>
    <col min="3" max="3" width="20.85546875" style="104" customWidth="1"/>
    <col min="4" max="4" width="26.42578125" style="104" customWidth="1"/>
    <col min="5" max="5" width="27.5703125" style="104" bestFit="1" customWidth="1"/>
    <col min="6" max="6" width="32.28515625" style="104" bestFit="1" customWidth="1"/>
    <col min="7" max="7" width="26.42578125" style="104" customWidth="1"/>
    <col min="8" max="8" width="22.85546875" style="104" customWidth="1"/>
    <col min="9" max="9" width="23.5703125" style="104" customWidth="1"/>
    <col min="10" max="10" width="26.5703125" style="104" bestFit="1" customWidth="1"/>
    <col min="11" max="11" width="23.7109375" style="104" customWidth="1"/>
    <col min="12" max="12" width="22.5703125" style="104" customWidth="1"/>
    <col min="13" max="13" width="26.42578125" style="104" customWidth="1"/>
    <col min="14" max="14" width="17.5703125" style="104" customWidth="1"/>
    <col min="15" max="15" width="22" style="104" customWidth="1"/>
    <col min="16" max="16" width="7.5703125" style="104" customWidth="1"/>
    <col min="17" max="17" width="14.28515625" style="104" bestFit="1" customWidth="1"/>
    <col min="18" max="18" width="11.42578125" style="104" customWidth="1"/>
    <col min="19" max="16384" width="9.140625" style="104"/>
  </cols>
  <sheetData>
    <row r="2" spans="1:16" x14ac:dyDescent="0.35">
      <c r="C2" s="246">
        <v>46110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8"/>
    </row>
    <row r="3" spans="1:16" x14ac:dyDescent="0.35">
      <c r="C3" s="249" t="s">
        <v>0</v>
      </c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6" ht="93" x14ac:dyDescent="0.35">
      <c r="A4" s="185"/>
      <c r="C4" s="106" t="s">
        <v>1</v>
      </c>
      <c r="D4" s="106" t="s">
        <v>2</v>
      </c>
      <c r="E4" s="106" t="s">
        <v>3</v>
      </c>
      <c r="F4" s="106" t="s">
        <v>4</v>
      </c>
      <c r="G4" s="106" t="s">
        <v>5</v>
      </c>
      <c r="H4" s="106" t="s">
        <v>6</v>
      </c>
      <c r="I4" s="106" t="s">
        <v>7</v>
      </c>
      <c r="J4" s="106" t="s">
        <v>8</v>
      </c>
      <c r="K4" s="107" t="s">
        <v>9</v>
      </c>
      <c r="L4" s="107" t="s">
        <v>10</v>
      </c>
      <c r="M4" s="108" t="s">
        <v>11</v>
      </c>
      <c r="N4" s="109" t="s">
        <v>12</v>
      </c>
      <c r="O4" s="106" t="s">
        <v>13</v>
      </c>
    </row>
    <row r="5" spans="1:16" x14ac:dyDescent="0.35">
      <c r="A5" s="110"/>
      <c r="C5" s="111" t="s">
        <v>14</v>
      </c>
      <c r="D5" s="112" t="s">
        <v>15</v>
      </c>
      <c r="E5" s="113" t="s">
        <v>16</v>
      </c>
      <c r="F5" s="114">
        <v>0</v>
      </c>
      <c r="G5" s="114">
        <v>0</v>
      </c>
      <c r="H5" s="115">
        <f>F5-G5</f>
        <v>0</v>
      </c>
      <c r="I5" s="115">
        <f>H5-J5</f>
        <v>0</v>
      </c>
      <c r="J5" s="116">
        <v>0</v>
      </c>
      <c r="K5" s="117">
        <v>0</v>
      </c>
      <c r="L5" s="116">
        <v>0</v>
      </c>
      <c r="M5" s="114">
        <f>'28-03-2026'!J50</f>
        <v>352552</v>
      </c>
      <c r="N5" s="117">
        <v>0</v>
      </c>
      <c r="O5" s="118">
        <v>28855</v>
      </c>
      <c r="P5" s="119"/>
    </row>
    <row r="6" spans="1:16" x14ac:dyDescent="0.35">
      <c r="A6" s="110"/>
      <c r="C6" s="111" t="s">
        <v>14</v>
      </c>
      <c r="D6" s="112" t="s">
        <v>17</v>
      </c>
      <c r="E6" s="113" t="s">
        <v>98</v>
      </c>
      <c r="F6" s="114">
        <f>12586+388724+628701</f>
        <v>1030011</v>
      </c>
      <c r="G6" s="114">
        <v>0</v>
      </c>
      <c r="H6" s="115">
        <f t="shared" ref="H6:H11" si="0">F6-G6</f>
        <v>1030011</v>
      </c>
      <c r="I6" s="115">
        <f t="shared" ref="I6:I11" si="1">H6-J6</f>
        <v>1030011</v>
      </c>
      <c r="J6" s="116">
        <v>0</v>
      </c>
      <c r="K6" s="117">
        <v>0</v>
      </c>
      <c r="L6" s="116">
        <v>0</v>
      </c>
      <c r="M6" s="114">
        <f>'28-03-2026'!J51</f>
        <v>2364562</v>
      </c>
      <c r="N6" s="117">
        <v>0</v>
      </c>
      <c r="O6" s="118">
        <v>0</v>
      </c>
    </row>
    <row r="7" spans="1:16" x14ac:dyDescent="0.35">
      <c r="A7" s="110"/>
      <c r="C7" s="111" t="s">
        <v>14</v>
      </c>
      <c r="D7" s="112" t="s">
        <v>18</v>
      </c>
      <c r="E7" s="113" t="s">
        <v>95</v>
      </c>
      <c r="F7" s="114">
        <v>88829</v>
      </c>
      <c r="G7" s="114">
        <v>0</v>
      </c>
      <c r="H7" s="115">
        <f t="shared" si="0"/>
        <v>88829</v>
      </c>
      <c r="I7" s="115">
        <f t="shared" si="1"/>
        <v>20143</v>
      </c>
      <c r="J7" s="116">
        <v>68686</v>
      </c>
      <c r="K7" s="117">
        <v>0</v>
      </c>
      <c r="L7" s="116">
        <v>0</v>
      </c>
      <c r="M7" s="114">
        <f>'28-03-2026'!J52</f>
        <v>1690282</v>
      </c>
      <c r="N7" s="117">
        <v>0</v>
      </c>
      <c r="O7" s="118">
        <v>171066</v>
      </c>
    </row>
    <row r="8" spans="1:16" x14ac:dyDescent="0.35">
      <c r="A8" s="110"/>
      <c r="C8" s="111" t="s">
        <v>14</v>
      </c>
      <c r="D8" s="112" t="s">
        <v>19</v>
      </c>
      <c r="E8" s="113" t="s">
        <v>95</v>
      </c>
      <c r="F8" s="114">
        <v>124681</v>
      </c>
      <c r="G8" s="114">
        <v>793</v>
      </c>
      <c r="H8" s="115">
        <f t="shared" si="0"/>
        <v>123888</v>
      </c>
      <c r="I8" s="115">
        <f t="shared" si="1"/>
        <v>105634</v>
      </c>
      <c r="J8" s="116">
        <v>18254</v>
      </c>
      <c r="K8" s="117">
        <v>0</v>
      </c>
      <c r="L8" s="116">
        <v>0</v>
      </c>
      <c r="M8" s="114">
        <f>'28-03-2026'!J53</f>
        <v>1324553</v>
      </c>
      <c r="N8" s="117">
        <v>0</v>
      </c>
      <c r="O8" s="118">
        <v>79101</v>
      </c>
    </row>
    <row r="9" spans="1:16" x14ac:dyDescent="0.35">
      <c r="A9" s="110"/>
      <c r="C9" s="111" t="s">
        <v>14</v>
      </c>
      <c r="D9" s="112" t="s">
        <v>20</v>
      </c>
      <c r="E9" s="113" t="s">
        <v>97</v>
      </c>
      <c r="F9" s="114">
        <v>46296</v>
      </c>
      <c r="G9" s="114">
        <v>2042</v>
      </c>
      <c r="H9" s="115">
        <f t="shared" si="0"/>
        <v>44254</v>
      </c>
      <c r="I9" s="115">
        <f t="shared" si="1"/>
        <v>8937</v>
      </c>
      <c r="J9" s="116">
        <v>35317</v>
      </c>
      <c r="K9" s="117">
        <v>0</v>
      </c>
      <c r="L9" s="116">
        <v>1140</v>
      </c>
      <c r="M9" s="114">
        <f>'28-03-2026'!J54</f>
        <v>1252327</v>
      </c>
      <c r="N9" s="117">
        <v>0</v>
      </c>
      <c r="O9" s="118">
        <v>53636</v>
      </c>
    </row>
    <row r="10" spans="1:16" x14ac:dyDescent="0.35">
      <c r="A10" s="110"/>
      <c r="C10" s="111" t="s">
        <v>14</v>
      </c>
      <c r="D10" s="112" t="s">
        <v>21</v>
      </c>
      <c r="E10" s="113" t="s">
        <v>97</v>
      </c>
      <c r="F10" s="114">
        <v>135964</v>
      </c>
      <c r="G10" s="114">
        <v>0</v>
      </c>
      <c r="H10" s="115">
        <f t="shared" si="0"/>
        <v>135964</v>
      </c>
      <c r="I10" s="115">
        <f t="shared" si="1"/>
        <v>8393</v>
      </c>
      <c r="J10" s="116">
        <v>127571</v>
      </c>
      <c r="K10" s="117">
        <v>700</v>
      </c>
      <c r="L10" s="116">
        <v>0</v>
      </c>
      <c r="M10" s="114">
        <f>'28-03-2026'!J55</f>
        <v>715400</v>
      </c>
      <c r="N10" s="117">
        <v>0</v>
      </c>
      <c r="O10" s="118">
        <v>102991</v>
      </c>
    </row>
    <row r="11" spans="1:16" x14ac:dyDescent="0.35">
      <c r="A11" s="110"/>
      <c r="C11" s="111" t="s">
        <v>14</v>
      </c>
      <c r="D11" s="112" t="s">
        <v>21</v>
      </c>
      <c r="E11" s="113" t="s">
        <v>93</v>
      </c>
      <c r="F11" s="114">
        <v>1522</v>
      </c>
      <c r="G11" s="114">
        <v>0</v>
      </c>
      <c r="H11" s="115">
        <f t="shared" si="0"/>
        <v>1522</v>
      </c>
      <c r="I11" s="115">
        <f t="shared" si="1"/>
        <v>0</v>
      </c>
      <c r="J11" s="116">
        <v>1522</v>
      </c>
      <c r="K11" s="117">
        <v>0</v>
      </c>
      <c r="L11" s="116">
        <v>0</v>
      </c>
      <c r="M11" s="114">
        <v>0</v>
      </c>
      <c r="N11" s="117">
        <v>0</v>
      </c>
      <c r="O11" s="118">
        <v>0</v>
      </c>
    </row>
    <row r="12" spans="1:16" x14ac:dyDescent="0.35">
      <c r="A12" s="120"/>
      <c r="C12" s="106" t="s">
        <v>22</v>
      </c>
      <c r="D12" s="106"/>
      <c r="E12" s="106"/>
      <c r="F12" s="121">
        <f t="shared" ref="F12:L12" si="2">SUM(F5:F11)</f>
        <v>1427303</v>
      </c>
      <c r="G12" s="121">
        <f t="shared" si="2"/>
        <v>2835</v>
      </c>
      <c r="H12" s="121">
        <f t="shared" si="2"/>
        <v>1424468</v>
      </c>
      <c r="I12" s="121">
        <f t="shared" si="2"/>
        <v>1173118</v>
      </c>
      <c r="J12" s="121">
        <f t="shared" si="2"/>
        <v>251350</v>
      </c>
      <c r="K12" s="121">
        <f t="shared" si="2"/>
        <v>700</v>
      </c>
      <c r="L12" s="121">
        <f t="shared" si="2"/>
        <v>1140</v>
      </c>
      <c r="M12" s="173">
        <f t="shared" ref="M12" si="3">SUM(M5:M10)</f>
        <v>7699676</v>
      </c>
      <c r="N12" s="121">
        <f>SUM(N5:N11)</f>
        <v>0</v>
      </c>
      <c r="O12" s="121">
        <f>SUM(O5:O11)</f>
        <v>435649</v>
      </c>
    </row>
    <row r="13" spans="1:16" x14ac:dyDescent="0.35">
      <c r="C13" s="111" t="s">
        <v>23</v>
      </c>
      <c r="D13" s="112" t="s">
        <v>24</v>
      </c>
      <c r="E13" s="113" t="s">
        <v>85</v>
      </c>
      <c r="F13" s="114">
        <v>100249</v>
      </c>
      <c r="G13" s="114">
        <v>5786</v>
      </c>
      <c r="H13" s="115">
        <f t="shared" ref="H13:H31" si="4">F13-G13</f>
        <v>94463</v>
      </c>
      <c r="I13" s="115">
        <f t="shared" ref="I13:I31" si="5">H13-J13</f>
        <v>65869</v>
      </c>
      <c r="J13" s="116">
        <v>28594</v>
      </c>
      <c r="K13" s="117">
        <v>0</v>
      </c>
      <c r="L13" s="116">
        <v>0</v>
      </c>
      <c r="M13" s="114">
        <f>'28-03-2026'!J59</f>
        <v>352809</v>
      </c>
      <c r="N13" s="117">
        <v>0</v>
      </c>
      <c r="O13" s="116">
        <v>44074</v>
      </c>
    </row>
    <row r="14" spans="1:16" x14ac:dyDescent="0.35">
      <c r="C14" s="111" t="s">
        <v>23</v>
      </c>
      <c r="D14" s="112" t="s">
        <v>25</v>
      </c>
      <c r="E14" s="113" t="s">
        <v>85</v>
      </c>
      <c r="F14" s="114">
        <v>165182</v>
      </c>
      <c r="G14" s="114">
        <v>5604</v>
      </c>
      <c r="H14" s="115">
        <f t="shared" si="4"/>
        <v>159578</v>
      </c>
      <c r="I14" s="115">
        <f t="shared" si="5"/>
        <v>120926</v>
      </c>
      <c r="J14" s="116">
        <v>38652</v>
      </c>
      <c r="K14" s="117">
        <v>0</v>
      </c>
      <c r="L14" s="116">
        <v>1000</v>
      </c>
      <c r="M14" s="114">
        <f>'28-03-2026'!J60</f>
        <v>1675266</v>
      </c>
      <c r="N14" s="117">
        <v>0</v>
      </c>
      <c r="O14" s="116">
        <v>0</v>
      </c>
    </row>
    <row r="15" spans="1:16" x14ac:dyDescent="0.35">
      <c r="C15" s="111" t="s">
        <v>23</v>
      </c>
      <c r="D15" s="112" t="s">
        <v>26</v>
      </c>
      <c r="E15" s="113" t="s">
        <v>16</v>
      </c>
      <c r="F15" s="114">
        <v>0</v>
      </c>
      <c r="G15" s="114">
        <v>0</v>
      </c>
      <c r="H15" s="115">
        <f t="shared" si="4"/>
        <v>0</v>
      </c>
      <c r="I15" s="115">
        <f t="shared" si="5"/>
        <v>0</v>
      </c>
      <c r="J15" s="116">
        <v>0</v>
      </c>
      <c r="K15" s="117">
        <v>0</v>
      </c>
      <c r="L15" s="116">
        <v>0</v>
      </c>
      <c r="M15" s="114">
        <f>'28-03-2026'!J61</f>
        <v>379215</v>
      </c>
      <c r="N15" s="117">
        <v>0</v>
      </c>
      <c r="O15" s="116">
        <v>0</v>
      </c>
    </row>
    <row r="16" spans="1:16" x14ac:dyDescent="0.35">
      <c r="C16" s="111" t="s">
        <v>23</v>
      </c>
      <c r="D16" s="112" t="s">
        <v>20</v>
      </c>
      <c r="E16" s="113" t="s">
        <v>97</v>
      </c>
      <c r="F16" s="114">
        <v>12444</v>
      </c>
      <c r="G16" s="114">
        <v>563</v>
      </c>
      <c r="H16" s="115">
        <f t="shared" si="4"/>
        <v>11881</v>
      </c>
      <c r="I16" s="115">
        <f t="shared" si="5"/>
        <v>0</v>
      </c>
      <c r="J16" s="116">
        <v>11881</v>
      </c>
      <c r="K16" s="117">
        <v>780</v>
      </c>
      <c r="L16" s="116">
        <v>0</v>
      </c>
      <c r="M16" s="114">
        <v>0</v>
      </c>
      <c r="N16" s="117">
        <v>0</v>
      </c>
      <c r="O16" s="116">
        <v>0</v>
      </c>
    </row>
    <row r="17" spans="3:15" x14ac:dyDescent="0.35">
      <c r="C17" s="111" t="s">
        <v>23</v>
      </c>
      <c r="D17" s="112" t="s">
        <v>18</v>
      </c>
      <c r="E17" s="113" t="s">
        <v>16</v>
      </c>
      <c r="F17" s="114">
        <v>0</v>
      </c>
      <c r="G17" s="114">
        <v>0</v>
      </c>
      <c r="H17" s="115">
        <f t="shared" si="4"/>
        <v>0</v>
      </c>
      <c r="I17" s="115">
        <f t="shared" si="5"/>
        <v>0</v>
      </c>
      <c r="J17" s="116">
        <v>0</v>
      </c>
      <c r="K17" s="117">
        <v>0</v>
      </c>
      <c r="L17" s="116">
        <v>0</v>
      </c>
      <c r="M17" s="114">
        <v>0</v>
      </c>
      <c r="N17" s="117">
        <v>0</v>
      </c>
      <c r="O17" s="116">
        <v>0</v>
      </c>
    </row>
    <row r="18" spans="3:15" x14ac:dyDescent="0.35">
      <c r="C18" s="111" t="s">
        <v>23</v>
      </c>
      <c r="D18" s="106"/>
      <c r="E18" s="106"/>
      <c r="F18" s="121">
        <f>SUM(F13:F17)</f>
        <v>277875</v>
      </c>
      <c r="G18" s="121">
        <f>SUM(G13:G17)</f>
        <v>11953</v>
      </c>
      <c r="H18" s="121">
        <f>SUM(H13:H16)</f>
        <v>265922</v>
      </c>
      <c r="I18" s="121">
        <f>SUM(I13:I16)</f>
        <v>186795</v>
      </c>
      <c r="J18" s="121">
        <f>SUM(J13:J17)</f>
        <v>79127</v>
      </c>
      <c r="K18" s="121">
        <f>SUM(K13:K16)</f>
        <v>780</v>
      </c>
      <c r="L18" s="121">
        <f>SUM(L13:L16)</f>
        <v>1000</v>
      </c>
      <c r="M18" s="121">
        <f>SUM(M13:M17)</f>
        <v>2407290</v>
      </c>
      <c r="N18" s="121">
        <f>SUM(N13:N16)</f>
        <v>0</v>
      </c>
      <c r="O18" s="121">
        <f>SUM(O13:O17)</f>
        <v>44074</v>
      </c>
    </row>
    <row r="19" spans="3:15" x14ac:dyDescent="0.35">
      <c r="C19" s="111" t="s">
        <v>27</v>
      </c>
      <c r="D19" s="112" t="s">
        <v>25</v>
      </c>
      <c r="E19" s="113" t="s">
        <v>16</v>
      </c>
      <c r="F19" s="114">
        <v>0</v>
      </c>
      <c r="G19" s="114">
        <v>0</v>
      </c>
      <c r="H19" s="115">
        <f t="shared" si="4"/>
        <v>0</v>
      </c>
      <c r="I19" s="115">
        <f t="shared" si="5"/>
        <v>0</v>
      </c>
      <c r="J19" s="116">
        <v>0</v>
      </c>
      <c r="K19" s="117">
        <v>0</v>
      </c>
      <c r="L19" s="116">
        <v>0</v>
      </c>
      <c r="M19" s="114">
        <f>'28-03-2026'!J63</f>
        <v>51257</v>
      </c>
      <c r="N19" s="117">
        <v>0</v>
      </c>
      <c r="O19" s="116">
        <v>0</v>
      </c>
    </row>
    <row r="20" spans="3:15" x14ac:dyDescent="0.35">
      <c r="C20" s="106"/>
      <c r="D20" s="106"/>
      <c r="E20" s="106"/>
      <c r="F20" s="121">
        <f>SUM(F19)</f>
        <v>0</v>
      </c>
      <c r="G20" s="121">
        <f t="shared" ref="G20:O20" si="6">SUM(G19)</f>
        <v>0</v>
      </c>
      <c r="H20" s="121">
        <f t="shared" si="6"/>
        <v>0</v>
      </c>
      <c r="I20" s="121">
        <f t="shared" si="6"/>
        <v>0</v>
      </c>
      <c r="J20" s="121">
        <f t="shared" si="6"/>
        <v>0</v>
      </c>
      <c r="K20" s="121">
        <f t="shared" si="6"/>
        <v>0</v>
      </c>
      <c r="L20" s="121">
        <f t="shared" si="6"/>
        <v>0</v>
      </c>
      <c r="M20" s="121">
        <f>SUM(M19)</f>
        <v>51257</v>
      </c>
      <c r="N20" s="121">
        <f t="shared" si="6"/>
        <v>0</v>
      </c>
      <c r="O20" s="121">
        <f t="shared" si="6"/>
        <v>0</v>
      </c>
    </row>
    <row r="21" spans="3:15" x14ac:dyDescent="0.35">
      <c r="C21" s="111" t="s">
        <v>28</v>
      </c>
      <c r="D21" s="112" t="s">
        <v>29</v>
      </c>
      <c r="E21" s="113" t="s">
        <v>16</v>
      </c>
      <c r="F21" s="114">
        <v>0</v>
      </c>
      <c r="G21" s="114">
        <v>0</v>
      </c>
      <c r="H21" s="115">
        <f t="shared" si="4"/>
        <v>0</v>
      </c>
      <c r="I21" s="115">
        <f t="shared" si="5"/>
        <v>0</v>
      </c>
      <c r="J21" s="116">
        <v>0</v>
      </c>
      <c r="K21" s="117">
        <v>0</v>
      </c>
      <c r="L21" s="116">
        <v>0</v>
      </c>
      <c r="M21" s="114">
        <f>'28-03-2026'!J74</f>
        <v>33969</v>
      </c>
      <c r="N21" s="117">
        <v>0</v>
      </c>
      <c r="O21" s="116">
        <v>0</v>
      </c>
    </row>
    <row r="22" spans="3:15" x14ac:dyDescent="0.35">
      <c r="C22" s="111" t="s">
        <v>28</v>
      </c>
      <c r="D22" s="112" t="s">
        <v>25</v>
      </c>
      <c r="E22" s="113" t="s">
        <v>16</v>
      </c>
      <c r="F22" s="114">
        <v>0</v>
      </c>
      <c r="G22" s="114">
        <v>0</v>
      </c>
      <c r="H22" s="115">
        <f t="shared" si="4"/>
        <v>0</v>
      </c>
      <c r="I22" s="115">
        <f t="shared" si="5"/>
        <v>0</v>
      </c>
      <c r="J22" s="116">
        <v>0</v>
      </c>
      <c r="K22" s="117">
        <v>0</v>
      </c>
      <c r="L22" s="116">
        <v>0</v>
      </c>
      <c r="M22" s="114">
        <f>'28-03-2026'!J75</f>
        <v>142892</v>
      </c>
      <c r="N22" s="117">
        <v>0</v>
      </c>
      <c r="O22" s="116">
        <v>0</v>
      </c>
    </row>
    <row r="23" spans="3:15" x14ac:dyDescent="0.35">
      <c r="C23" s="106" t="s">
        <v>22</v>
      </c>
      <c r="D23" s="106"/>
      <c r="E23" s="106"/>
      <c r="F23" s="121">
        <f t="shared" ref="F23:L23" si="7">SUM(F21:F22)</f>
        <v>0</v>
      </c>
      <c r="G23" s="121">
        <f t="shared" si="7"/>
        <v>0</v>
      </c>
      <c r="H23" s="121">
        <f t="shared" si="7"/>
        <v>0</v>
      </c>
      <c r="I23" s="121">
        <f t="shared" si="7"/>
        <v>0</v>
      </c>
      <c r="J23" s="121">
        <f t="shared" si="7"/>
        <v>0</v>
      </c>
      <c r="K23" s="121">
        <f>SUM(K21:K22)</f>
        <v>0</v>
      </c>
      <c r="L23" s="121">
        <f t="shared" si="7"/>
        <v>0</v>
      </c>
      <c r="M23" s="121">
        <f>SUM(M21:M22)</f>
        <v>176861</v>
      </c>
      <c r="N23" s="121">
        <f t="shared" ref="N23:O23" si="8">SUM(N21:N22)</f>
        <v>0</v>
      </c>
      <c r="O23" s="121">
        <f t="shared" si="8"/>
        <v>0</v>
      </c>
    </row>
    <row r="24" spans="3:15" x14ac:dyDescent="0.35">
      <c r="C24" s="111" t="s">
        <v>30</v>
      </c>
      <c r="D24" s="112" t="s">
        <v>29</v>
      </c>
      <c r="E24" s="113" t="s">
        <v>16</v>
      </c>
      <c r="F24" s="122">
        <v>0</v>
      </c>
      <c r="G24" s="122">
        <v>0</v>
      </c>
      <c r="H24" s="115">
        <f t="shared" si="4"/>
        <v>0</v>
      </c>
      <c r="I24" s="115">
        <f t="shared" si="5"/>
        <v>0</v>
      </c>
      <c r="J24" s="123">
        <v>0</v>
      </c>
      <c r="K24" s="124">
        <v>0</v>
      </c>
      <c r="L24" s="123">
        <v>0</v>
      </c>
      <c r="M24" s="122">
        <f>'28-03-2026'!J78</f>
        <v>89658</v>
      </c>
      <c r="N24" s="124">
        <v>0</v>
      </c>
      <c r="O24" s="123">
        <v>0</v>
      </c>
    </row>
    <row r="25" spans="3:15" x14ac:dyDescent="0.35">
      <c r="C25" s="111" t="s">
        <v>30</v>
      </c>
      <c r="D25" s="112" t="s">
        <v>31</v>
      </c>
      <c r="E25" s="113" t="s">
        <v>16</v>
      </c>
      <c r="F25" s="122">
        <v>0</v>
      </c>
      <c r="G25" s="122">
        <v>0</v>
      </c>
      <c r="H25" s="115">
        <f t="shared" si="4"/>
        <v>0</v>
      </c>
      <c r="I25" s="115">
        <f t="shared" si="5"/>
        <v>0</v>
      </c>
      <c r="J25" s="123">
        <v>0</v>
      </c>
      <c r="K25" s="124">
        <v>0</v>
      </c>
      <c r="L25" s="123">
        <v>0</v>
      </c>
      <c r="M25" s="122">
        <f>'28-03-2026'!J79</f>
        <v>17000</v>
      </c>
      <c r="N25" s="124">
        <v>0</v>
      </c>
      <c r="O25" s="123">
        <v>0</v>
      </c>
    </row>
    <row r="26" spans="3:15" x14ac:dyDescent="0.35">
      <c r="C26" s="106" t="s">
        <v>22</v>
      </c>
      <c r="D26" s="106"/>
      <c r="E26" s="106"/>
      <c r="F26" s="121">
        <f>SUM(F24:F25)</f>
        <v>0</v>
      </c>
      <c r="G26" s="121">
        <f t="shared" ref="G26:O26" si="9">SUM(G24:G25)</f>
        <v>0</v>
      </c>
      <c r="H26" s="121">
        <f t="shared" si="9"/>
        <v>0</v>
      </c>
      <c r="I26" s="121">
        <f t="shared" si="9"/>
        <v>0</v>
      </c>
      <c r="J26" s="121">
        <f t="shared" si="9"/>
        <v>0</v>
      </c>
      <c r="K26" s="121">
        <f t="shared" si="9"/>
        <v>0</v>
      </c>
      <c r="L26" s="121">
        <f t="shared" si="9"/>
        <v>0</v>
      </c>
      <c r="M26" s="121">
        <f t="shared" si="9"/>
        <v>106658</v>
      </c>
      <c r="N26" s="121">
        <f t="shared" si="9"/>
        <v>0</v>
      </c>
      <c r="O26" s="121">
        <f t="shared" si="9"/>
        <v>0</v>
      </c>
    </row>
    <row r="27" spans="3:15" x14ac:dyDescent="0.35">
      <c r="C27" s="111" t="s">
        <v>32</v>
      </c>
      <c r="D27" s="112" t="s">
        <v>33</v>
      </c>
      <c r="E27" s="113" t="s">
        <v>84</v>
      </c>
      <c r="F27" s="125">
        <v>109149</v>
      </c>
      <c r="G27" s="114">
        <v>0</v>
      </c>
      <c r="H27" s="115">
        <f t="shared" si="4"/>
        <v>109149</v>
      </c>
      <c r="I27" s="115">
        <f t="shared" si="5"/>
        <v>109149</v>
      </c>
      <c r="J27" s="116">
        <v>0</v>
      </c>
      <c r="K27" s="117">
        <v>0</v>
      </c>
      <c r="L27" s="116">
        <v>0</v>
      </c>
      <c r="M27" s="114">
        <f>'28-03-2026'!J66</f>
        <v>1722673</v>
      </c>
      <c r="N27" s="117">
        <v>0</v>
      </c>
      <c r="O27" s="116">
        <v>36775</v>
      </c>
    </row>
    <row r="28" spans="3:15" x14ac:dyDescent="0.35">
      <c r="C28" s="111" t="s">
        <v>32</v>
      </c>
      <c r="D28" s="112" t="s">
        <v>31</v>
      </c>
      <c r="E28" s="113" t="s">
        <v>16</v>
      </c>
      <c r="F28" s="125">
        <v>0</v>
      </c>
      <c r="G28" s="114">
        <v>0</v>
      </c>
      <c r="H28" s="115">
        <f t="shared" si="4"/>
        <v>0</v>
      </c>
      <c r="I28" s="115">
        <f t="shared" si="5"/>
        <v>0</v>
      </c>
      <c r="J28" s="116">
        <v>0</v>
      </c>
      <c r="K28" s="117">
        <v>0</v>
      </c>
      <c r="L28" s="116">
        <v>0</v>
      </c>
      <c r="M28" s="114">
        <f>'28-03-2026'!J67</f>
        <v>174473</v>
      </c>
      <c r="N28" s="117">
        <v>0</v>
      </c>
      <c r="O28" s="116">
        <v>0</v>
      </c>
    </row>
    <row r="29" spans="3:15" x14ac:dyDescent="0.35">
      <c r="C29" s="111" t="s">
        <v>32</v>
      </c>
      <c r="D29" s="112" t="s">
        <v>26</v>
      </c>
      <c r="E29" s="113" t="s">
        <v>16</v>
      </c>
      <c r="F29" s="125">
        <v>0</v>
      </c>
      <c r="G29" s="114">
        <v>0</v>
      </c>
      <c r="H29" s="115">
        <f t="shared" si="4"/>
        <v>0</v>
      </c>
      <c r="I29" s="115">
        <f t="shared" si="5"/>
        <v>0</v>
      </c>
      <c r="J29" s="116">
        <v>0</v>
      </c>
      <c r="K29" s="117">
        <v>0</v>
      </c>
      <c r="L29" s="116">
        <v>0</v>
      </c>
      <c r="M29" s="114">
        <f>'28-03-2026'!J68</f>
        <v>35126</v>
      </c>
      <c r="N29" s="117">
        <v>0</v>
      </c>
      <c r="O29" s="116">
        <v>0</v>
      </c>
    </row>
    <row r="30" spans="3:15" x14ac:dyDescent="0.35">
      <c r="C30" s="111" t="s">
        <v>32</v>
      </c>
      <c r="D30" s="112" t="s">
        <v>34</v>
      </c>
      <c r="E30" s="113" t="s">
        <v>50</v>
      </c>
      <c r="F30" s="125">
        <v>11999</v>
      </c>
      <c r="G30" s="114">
        <v>0</v>
      </c>
      <c r="H30" s="115">
        <f t="shared" si="4"/>
        <v>11999</v>
      </c>
      <c r="I30" s="115">
        <f t="shared" si="5"/>
        <v>11999</v>
      </c>
      <c r="J30" s="116">
        <v>0</v>
      </c>
      <c r="K30" s="117">
        <v>0</v>
      </c>
      <c r="L30" s="116">
        <v>0</v>
      </c>
      <c r="M30" s="114">
        <v>0</v>
      </c>
      <c r="N30" s="117">
        <v>0</v>
      </c>
      <c r="O30" s="116">
        <v>0</v>
      </c>
    </row>
    <row r="31" spans="3:15" x14ac:dyDescent="0.35">
      <c r="C31" s="111" t="s">
        <v>32</v>
      </c>
      <c r="D31" s="112" t="s">
        <v>34</v>
      </c>
      <c r="E31" s="113" t="s">
        <v>84</v>
      </c>
      <c r="F31" s="125">
        <v>82200</v>
      </c>
      <c r="G31" s="114">
        <v>3332</v>
      </c>
      <c r="H31" s="115">
        <f t="shared" si="4"/>
        <v>78868</v>
      </c>
      <c r="I31" s="115">
        <f t="shared" si="5"/>
        <v>46173</v>
      </c>
      <c r="J31" s="116">
        <v>32695</v>
      </c>
      <c r="K31" s="117">
        <v>0</v>
      </c>
      <c r="L31" s="116">
        <v>0</v>
      </c>
      <c r="M31" s="114">
        <f>'28-03-2026'!J69</f>
        <v>1317454</v>
      </c>
      <c r="N31" s="117">
        <v>0</v>
      </c>
      <c r="O31" s="116">
        <v>61723</v>
      </c>
    </row>
    <row r="32" spans="3:15" x14ac:dyDescent="0.35">
      <c r="C32" s="106" t="s">
        <v>22</v>
      </c>
      <c r="D32" s="106"/>
      <c r="E32" s="106"/>
      <c r="F32" s="121">
        <f t="shared" ref="F32:O32" si="10">SUM(F27:F31)</f>
        <v>203348</v>
      </c>
      <c r="G32" s="121">
        <f t="shared" si="10"/>
        <v>3332</v>
      </c>
      <c r="H32" s="121">
        <f t="shared" si="10"/>
        <v>200016</v>
      </c>
      <c r="I32" s="121">
        <f t="shared" si="10"/>
        <v>167321</v>
      </c>
      <c r="J32" s="121">
        <f t="shared" si="10"/>
        <v>32695</v>
      </c>
      <c r="K32" s="121">
        <f t="shared" si="10"/>
        <v>0</v>
      </c>
      <c r="L32" s="121">
        <f t="shared" si="10"/>
        <v>0</v>
      </c>
      <c r="M32" s="121">
        <f t="shared" si="10"/>
        <v>3249726</v>
      </c>
      <c r="N32" s="121">
        <f t="shared" si="10"/>
        <v>0</v>
      </c>
      <c r="O32" s="121">
        <f t="shared" si="10"/>
        <v>98498</v>
      </c>
    </row>
    <row r="33" spans="3:15" x14ac:dyDescent="0.35">
      <c r="C33" s="126" t="s">
        <v>35</v>
      </c>
      <c r="D33" s="126"/>
      <c r="E33" s="126"/>
      <c r="F33" s="127">
        <f t="shared" ref="F33:O33" si="11">F32+F26+F23+F20+F18+F12</f>
        <v>1908526</v>
      </c>
      <c r="G33" s="127">
        <f t="shared" si="11"/>
        <v>18120</v>
      </c>
      <c r="H33" s="127">
        <f t="shared" si="11"/>
        <v>1890406</v>
      </c>
      <c r="I33" s="127">
        <f t="shared" si="11"/>
        <v>1527234</v>
      </c>
      <c r="J33" s="127">
        <f t="shared" si="11"/>
        <v>363172</v>
      </c>
      <c r="K33" s="127">
        <f t="shared" si="11"/>
        <v>1480</v>
      </c>
      <c r="L33" s="127">
        <f t="shared" si="11"/>
        <v>2140</v>
      </c>
      <c r="M33" s="127">
        <f t="shared" si="11"/>
        <v>13691468</v>
      </c>
      <c r="N33" s="127">
        <f t="shared" si="11"/>
        <v>0</v>
      </c>
      <c r="O33" s="127">
        <f t="shared" si="11"/>
        <v>578221</v>
      </c>
    </row>
    <row r="34" spans="3:15" x14ac:dyDescent="0.35">
      <c r="F34" s="128" t="s">
        <v>36</v>
      </c>
      <c r="G34" s="116">
        <f>O12+L12+J12-K12</f>
        <v>687439</v>
      </c>
      <c r="H34" s="252"/>
      <c r="I34" s="253"/>
      <c r="J34" s="129"/>
      <c r="K34" s="130"/>
      <c r="L34" s="130"/>
    </row>
    <row r="35" spans="3:15" x14ac:dyDescent="0.35">
      <c r="F35" s="131" t="s">
        <v>37</v>
      </c>
      <c r="G35" s="116">
        <f>O18+L18+J18-K18+O20+L20+J20-K20</f>
        <v>123421</v>
      </c>
      <c r="H35" s="132"/>
      <c r="I35" s="133" t="s">
        <v>89</v>
      </c>
      <c r="J35" s="133" t="s">
        <v>90</v>
      </c>
      <c r="K35" s="239" t="s">
        <v>88</v>
      </c>
      <c r="L35" s="238"/>
      <c r="M35" s="254" t="s">
        <v>87</v>
      </c>
      <c r="N35" s="255"/>
      <c r="O35" s="256"/>
    </row>
    <row r="36" spans="3:15" x14ac:dyDescent="0.35">
      <c r="C36" s="257" t="s">
        <v>68</v>
      </c>
      <c r="D36" s="258"/>
      <c r="F36" s="134" t="s">
        <v>38</v>
      </c>
      <c r="G36" s="116">
        <f>O23+L23+J23-K23</f>
        <v>0</v>
      </c>
      <c r="H36" s="132"/>
      <c r="I36" s="133"/>
      <c r="J36" s="135"/>
      <c r="K36" s="239"/>
      <c r="L36" s="238"/>
      <c r="M36" s="136"/>
      <c r="N36" s="137"/>
      <c r="O36" s="138"/>
    </row>
    <row r="37" spans="3:15" x14ac:dyDescent="0.35">
      <c r="C37" s="139"/>
      <c r="D37" s="139"/>
      <c r="F37" s="140" t="s">
        <v>30</v>
      </c>
      <c r="G37" s="116">
        <f>O26+L26+J26-K26</f>
        <v>0</v>
      </c>
      <c r="H37" s="132"/>
      <c r="I37" s="141"/>
      <c r="J37" s="135"/>
      <c r="K37" s="239"/>
      <c r="L37" s="238"/>
      <c r="M37" s="136"/>
      <c r="N37" s="137"/>
      <c r="O37" s="138"/>
    </row>
    <row r="38" spans="3:15" x14ac:dyDescent="0.35">
      <c r="C38" s="139"/>
      <c r="D38" s="139"/>
      <c r="F38" s="128" t="s">
        <v>39</v>
      </c>
      <c r="G38" s="116">
        <f>O32+L32+J32-K32</f>
        <v>131193</v>
      </c>
      <c r="H38" s="132"/>
      <c r="I38" s="141"/>
      <c r="J38" s="135"/>
      <c r="K38" s="239"/>
      <c r="L38" s="238"/>
      <c r="M38" s="136"/>
      <c r="N38" s="137"/>
      <c r="O38" s="138"/>
    </row>
    <row r="39" spans="3:15" x14ac:dyDescent="0.35">
      <c r="C39" s="139"/>
      <c r="D39" s="139"/>
      <c r="F39" s="142" t="s">
        <v>40</v>
      </c>
      <c r="G39" s="143">
        <f>SUM(G34:G38)</f>
        <v>942053</v>
      </c>
      <c r="I39" s="139"/>
      <c r="J39" s="135"/>
      <c r="K39" s="239"/>
      <c r="L39" s="238"/>
      <c r="M39" s="136"/>
      <c r="N39" s="137"/>
      <c r="O39" s="138"/>
    </row>
    <row r="40" spans="3:15" x14ac:dyDescent="0.35">
      <c r="C40" s="139"/>
      <c r="D40" s="139"/>
      <c r="F40" s="144"/>
      <c r="G40" s="184"/>
      <c r="I40" s="139"/>
      <c r="J40" s="135"/>
      <c r="K40" s="239"/>
      <c r="L40" s="238"/>
      <c r="M40" s="136"/>
      <c r="N40" s="137"/>
      <c r="O40" s="138"/>
    </row>
    <row r="41" spans="3:15" x14ac:dyDescent="0.35">
      <c r="C41" s="139"/>
      <c r="D41" s="139"/>
      <c r="F41" s="144"/>
      <c r="G41" s="184"/>
      <c r="I41" s="139"/>
      <c r="J41" s="135"/>
      <c r="K41" s="137"/>
      <c r="L41" s="137"/>
      <c r="M41" s="136"/>
      <c r="N41" s="137"/>
      <c r="O41" s="138"/>
    </row>
    <row r="42" spans="3:15" x14ac:dyDescent="0.35">
      <c r="C42" s="139"/>
      <c r="D42" s="139"/>
      <c r="F42" s="144"/>
      <c r="G42" s="145"/>
      <c r="I42" s="139"/>
      <c r="J42" s="135"/>
      <c r="K42" s="137"/>
      <c r="L42" s="137"/>
      <c r="M42" s="136"/>
      <c r="N42" s="137"/>
      <c r="O42" s="138"/>
    </row>
    <row r="43" spans="3:15" x14ac:dyDescent="0.35">
      <c r="C43" s="139"/>
      <c r="D43" s="139"/>
      <c r="F43" s="144"/>
      <c r="G43" s="145"/>
      <c r="I43" s="139"/>
      <c r="J43" s="135"/>
      <c r="K43" s="137"/>
      <c r="L43" s="137"/>
      <c r="M43" s="136"/>
      <c r="N43" s="137"/>
      <c r="O43" s="138"/>
    </row>
    <row r="44" spans="3:15" x14ac:dyDescent="0.35">
      <c r="C44" s="139"/>
      <c r="D44" s="139"/>
      <c r="F44" s="144"/>
      <c r="G44" s="145"/>
      <c r="I44" s="139"/>
      <c r="J44" s="135"/>
      <c r="K44" s="237"/>
      <c r="L44" s="238"/>
      <c r="M44" s="237"/>
      <c r="N44" s="239"/>
      <c r="O44" s="238"/>
    </row>
    <row r="45" spans="3:15" x14ac:dyDescent="0.35">
      <c r="C45" s="139"/>
      <c r="D45" s="139"/>
      <c r="F45" s="144"/>
      <c r="G45" s="145"/>
      <c r="I45" s="139"/>
      <c r="J45" s="133"/>
      <c r="K45" s="237"/>
      <c r="L45" s="238"/>
      <c r="M45" s="237"/>
      <c r="N45" s="239"/>
      <c r="O45" s="238"/>
    </row>
    <row r="46" spans="3:15" x14ac:dyDescent="0.35">
      <c r="C46" s="139"/>
      <c r="D46" s="139"/>
      <c r="F46" s="144"/>
      <c r="G46" s="145"/>
      <c r="I46" s="139"/>
      <c r="J46" s="133"/>
      <c r="K46" s="237"/>
      <c r="L46" s="238"/>
      <c r="M46" s="237"/>
      <c r="N46" s="239"/>
      <c r="O46" s="238"/>
    </row>
    <row r="47" spans="3:15" x14ac:dyDescent="0.35">
      <c r="C47" s="139"/>
      <c r="D47" s="139"/>
      <c r="F47" s="144"/>
      <c r="G47" s="145"/>
      <c r="I47" s="139"/>
      <c r="J47" s="133"/>
      <c r="K47" s="237"/>
      <c r="L47" s="238"/>
      <c r="M47" s="237"/>
      <c r="N47" s="239"/>
      <c r="O47" s="238"/>
    </row>
    <row r="48" spans="3:15" x14ac:dyDescent="0.35">
      <c r="C48" s="139"/>
      <c r="D48" s="139"/>
      <c r="F48" s="144"/>
      <c r="G48" s="145"/>
      <c r="I48" s="139"/>
      <c r="J48" s="133"/>
      <c r="K48" s="237"/>
      <c r="L48" s="238"/>
      <c r="M48" s="237"/>
      <c r="N48" s="239"/>
      <c r="O48" s="238"/>
    </row>
    <row r="49" spans="3:14" x14ac:dyDescent="0.35">
      <c r="H49" s="240" t="s">
        <v>41</v>
      </c>
      <c r="I49" s="240"/>
      <c r="J49" s="240"/>
      <c r="K49" s="241"/>
      <c r="L49" s="110"/>
      <c r="M49" s="146"/>
    </row>
    <row r="50" spans="3:14" x14ac:dyDescent="0.35">
      <c r="H50" s="147" t="s">
        <v>42</v>
      </c>
      <c r="I50" s="147" t="s">
        <v>43</v>
      </c>
      <c r="J50" s="147" t="s">
        <v>44</v>
      </c>
      <c r="K50" s="241"/>
      <c r="L50" s="146"/>
    </row>
    <row r="51" spans="3:14" x14ac:dyDescent="0.35">
      <c r="F51" s="148"/>
      <c r="H51" s="104" t="s">
        <v>14</v>
      </c>
      <c r="I51" s="104" t="s">
        <v>15</v>
      </c>
      <c r="J51" s="148">
        <f t="shared" ref="J51:J56" si="12">M5-O5-N5-L5+I5</f>
        <v>323697</v>
      </c>
      <c r="K51" s="149">
        <v>415800</v>
      </c>
      <c r="L51" s="150">
        <f>J51-K51</f>
        <v>-92103</v>
      </c>
      <c r="M51" s="148"/>
    </row>
    <row r="52" spans="3:14" x14ac:dyDescent="0.35">
      <c r="C52" s="242">
        <v>45931</v>
      </c>
      <c r="D52" s="242"/>
      <c r="E52" s="242"/>
      <c r="H52" s="104" t="s">
        <v>14</v>
      </c>
      <c r="I52" s="104" t="s">
        <v>17</v>
      </c>
      <c r="J52" s="148">
        <f t="shared" si="12"/>
        <v>3394573</v>
      </c>
      <c r="K52" s="149">
        <v>3257215</v>
      </c>
      <c r="L52" s="150">
        <f t="shared" ref="L52:L63" si="13">J52-K52</f>
        <v>137358</v>
      </c>
      <c r="M52" s="148"/>
    </row>
    <row r="53" spans="3:14" x14ac:dyDescent="0.35">
      <c r="C53" s="243" t="s">
        <v>63</v>
      </c>
      <c r="D53" s="243"/>
      <c r="E53" s="243"/>
      <c r="H53" s="104" t="s">
        <v>14</v>
      </c>
      <c r="I53" s="104" t="s">
        <v>18</v>
      </c>
      <c r="J53" s="148">
        <f t="shared" si="12"/>
        <v>1539359</v>
      </c>
      <c r="K53" s="149">
        <v>1757091</v>
      </c>
      <c r="L53" s="150">
        <f t="shared" si="13"/>
        <v>-217732</v>
      </c>
      <c r="M53" s="148"/>
    </row>
    <row r="54" spans="3:14" x14ac:dyDescent="0.35">
      <c r="C54" s="139" t="s">
        <v>64</v>
      </c>
      <c r="D54" s="225">
        <f>'Opening Balance FEB 2026'!J4</f>
        <v>1308640</v>
      </c>
      <c r="E54" s="226"/>
      <c r="H54" s="104" t="s">
        <v>14</v>
      </c>
      <c r="I54" s="104" t="s">
        <v>19</v>
      </c>
      <c r="J54" s="148">
        <f t="shared" si="12"/>
        <v>1351086</v>
      </c>
      <c r="K54" s="149">
        <v>1296000</v>
      </c>
      <c r="L54" s="150">
        <f t="shared" si="13"/>
        <v>55086</v>
      </c>
      <c r="M54" s="148"/>
    </row>
    <row r="55" spans="3:14" x14ac:dyDescent="0.35">
      <c r="C55" s="139" t="s">
        <v>65</v>
      </c>
      <c r="D55" s="225">
        <f>G39</f>
        <v>942053</v>
      </c>
      <c r="E55" s="226"/>
      <c r="H55" s="104" t="s">
        <v>14</v>
      </c>
      <c r="I55" s="104" t="s">
        <v>20</v>
      </c>
      <c r="J55" s="148">
        <f t="shared" si="12"/>
        <v>1206488</v>
      </c>
      <c r="K55" s="149">
        <v>1325626</v>
      </c>
      <c r="L55" s="150">
        <f t="shared" si="13"/>
        <v>-119138</v>
      </c>
      <c r="M55" s="148"/>
    </row>
    <row r="56" spans="3:14" x14ac:dyDescent="0.35">
      <c r="C56" s="151" t="s">
        <v>45</v>
      </c>
      <c r="D56" s="244">
        <f>D54+D55</f>
        <v>2250693</v>
      </c>
      <c r="E56" s="245"/>
      <c r="H56" s="104" t="s">
        <v>14</v>
      </c>
      <c r="I56" s="104" t="s">
        <v>21</v>
      </c>
      <c r="J56" s="148">
        <f t="shared" si="12"/>
        <v>620802</v>
      </c>
      <c r="K56" s="149">
        <v>691628</v>
      </c>
      <c r="L56" s="150">
        <f t="shared" si="13"/>
        <v>-70826</v>
      </c>
    </row>
    <row r="57" spans="3:14" x14ac:dyDescent="0.35">
      <c r="C57" s="139" t="s">
        <v>66</v>
      </c>
      <c r="D57" s="235">
        <v>0</v>
      </c>
      <c r="E57" s="236"/>
      <c r="H57" s="152" t="s">
        <v>45</v>
      </c>
      <c r="I57" s="152"/>
      <c r="J57" s="153">
        <f>SUM(J51:J56)</f>
        <v>8436005</v>
      </c>
      <c r="K57" s="154">
        <v>7699644</v>
      </c>
      <c r="L57" s="150">
        <f t="shared" si="13"/>
        <v>736361</v>
      </c>
    </row>
    <row r="58" spans="3:14" x14ac:dyDescent="0.35">
      <c r="C58" s="139" t="s">
        <v>78</v>
      </c>
      <c r="D58" s="235">
        <v>0</v>
      </c>
      <c r="E58" s="236"/>
      <c r="H58" s="152"/>
      <c r="I58" s="152"/>
      <c r="J58" s="153"/>
      <c r="K58" s="155"/>
      <c r="L58" s="150"/>
    </row>
    <row r="59" spans="3:14" x14ac:dyDescent="0.35">
      <c r="C59" s="139" t="s">
        <v>75</v>
      </c>
      <c r="D59" s="235">
        <v>10000</v>
      </c>
      <c r="E59" s="236"/>
      <c r="H59" s="147" t="s">
        <v>42</v>
      </c>
      <c r="I59" s="147" t="s">
        <v>43</v>
      </c>
      <c r="J59" s="147" t="s">
        <v>44</v>
      </c>
      <c r="K59" s="146"/>
      <c r="L59" s="150"/>
    </row>
    <row r="60" spans="3:14" x14ac:dyDescent="0.35">
      <c r="C60" s="156" t="s">
        <v>83</v>
      </c>
      <c r="D60" s="227">
        <f>SUM(D57:E59)</f>
        <v>10000</v>
      </c>
      <c r="E60" s="228"/>
      <c r="H60" s="104" t="s">
        <v>46</v>
      </c>
      <c r="I60" s="104" t="s">
        <v>48</v>
      </c>
      <c r="J60" s="148">
        <f>M13-O13-N13-L13+I13</f>
        <v>374604</v>
      </c>
      <c r="K60" s="149">
        <v>352809</v>
      </c>
      <c r="L60" s="150">
        <f t="shared" si="13"/>
        <v>21795</v>
      </c>
    </row>
    <row r="61" spans="3:14" x14ac:dyDescent="0.35">
      <c r="C61" s="157" t="s">
        <v>67</v>
      </c>
      <c r="D61" s="229">
        <f>D56-D57-D59-D58</f>
        <v>2240693</v>
      </c>
      <c r="E61" s="230"/>
      <c r="H61" s="104" t="s">
        <v>46</v>
      </c>
      <c r="I61" s="104" t="s">
        <v>47</v>
      </c>
      <c r="J61" s="148">
        <f>M14-O14-N14-L14+I14</f>
        <v>1795192</v>
      </c>
      <c r="K61" s="149">
        <v>1675266</v>
      </c>
      <c r="L61" s="150">
        <f t="shared" si="13"/>
        <v>119926</v>
      </c>
      <c r="N61" s="148"/>
    </row>
    <row r="62" spans="3:14" x14ac:dyDescent="0.35">
      <c r="C62" s="158" t="s">
        <v>68</v>
      </c>
      <c r="D62" s="231"/>
      <c r="E62" s="232"/>
      <c r="H62" s="104" t="s">
        <v>46</v>
      </c>
      <c r="I62" s="104" t="s">
        <v>15</v>
      </c>
      <c r="J62" s="148">
        <f>M15-O15-N15-L15+I15</f>
        <v>379215</v>
      </c>
      <c r="K62" s="149">
        <v>379215</v>
      </c>
      <c r="L62" s="150">
        <f t="shared" si="13"/>
        <v>0</v>
      </c>
      <c r="M62" s="148"/>
      <c r="N62" s="148"/>
    </row>
    <row r="63" spans="3:14" x14ac:dyDescent="0.35">
      <c r="C63" s="139" t="s">
        <v>14</v>
      </c>
      <c r="D63" s="225">
        <v>0</v>
      </c>
      <c r="E63" s="226"/>
      <c r="H63" s="104" t="s">
        <v>46</v>
      </c>
      <c r="I63" s="104" t="s">
        <v>20</v>
      </c>
      <c r="J63" s="148">
        <f>M16-O16</f>
        <v>0</v>
      </c>
      <c r="K63" s="149">
        <v>0</v>
      </c>
      <c r="L63" s="150">
        <f t="shared" si="13"/>
        <v>0</v>
      </c>
    </row>
    <row r="64" spans="3:14" x14ac:dyDescent="0.35">
      <c r="C64" s="139" t="s">
        <v>72</v>
      </c>
      <c r="D64" s="225">
        <v>0</v>
      </c>
      <c r="E64" s="226"/>
      <c r="H64" s="104" t="s">
        <v>27</v>
      </c>
      <c r="I64" s="104" t="s">
        <v>47</v>
      </c>
      <c r="J64" s="148">
        <f>M19-O19-N19-L19+I19</f>
        <v>51257</v>
      </c>
      <c r="K64" s="149">
        <v>51257</v>
      </c>
      <c r="L64" s="150">
        <f>J64-K64</f>
        <v>0</v>
      </c>
    </row>
    <row r="65" spans="3:14" x14ac:dyDescent="0.35">
      <c r="C65" s="139" t="s">
        <v>69</v>
      </c>
      <c r="D65" s="225">
        <v>0</v>
      </c>
      <c r="E65" s="226"/>
      <c r="H65" s="152" t="s">
        <v>45</v>
      </c>
      <c r="I65" s="152"/>
      <c r="J65" s="153">
        <f>SUM(J60:J64)</f>
        <v>2600268</v>
      </c>
      <c r="K65" s="149">
        <f>SUM(K60:K64)</f>
        <v>2458547</v>
      </c>
      <c r="L65" s="150">
        <f>J65-K65</f>
        <v>141721</v>
      </c>
    </row>
    <row r="66" spans="3:14" x14ac:dyDescent="0.35">
      <c r="C66" s="139" t="s">
        <v>70</v>
      </c>
      <c r="D66" s="225">
        <v>0</v>
      </c>
      <c r="E66" s="226"/>
      <c r="F66" s="148"/>
      <c r="H66" s="147" t="s">
        <v>42</v>
      </c>
      <c r="I66" s="147" t="s">
        <v>43</v>
      </c>
      <c r="J66" s="147" t="s">
        <v>44</v>
      </c>
    </row>
    <row r="67" spans="3:14" x14ac:dyDescent="0.35">
      <c r="C67" s="139" t="s">
        <v>71</v>
      </c>
      <c r="D67" s="225">
        <v>0</v>
      </c>
      <c r="E67" s="226"/>
      <c r="F67" s="159"/>
      <c r="G67" s="160"/>
      <c r="H67" s="104" t="s">
        <v>49</v>
      </c>
      <c r="I67" s="104" t="s">
        <v>51</v>
      </c>
      <c r="J67" s="148">
        <f>M27-O27-N27-L27+I27</f>
        <v>1795047</v>
      </c>
      <c r="K67" s="149">
        <v>1671613</v>
      </c>
      <c r="L67" s="150">
        <f t="shared" ref="L67:L73" si="14">J67-K67</f>
        <v>123434</v>
      </c>
      <c r="N67" s="148"/>
    </row>
    <row r="68" spans="3:14" x14ac:dyDescent="0.35">
      <c r="C68" s="157" t="s">
        <v>73</v>
      </c>
      <c r="D68" s="229">
        <f>SUM(D63:D67)</f>
        <v>0</v>
      </c>
      <c r="E68" s="230"/>
      <c r="F68" s="148"/>
      <c r="H68" s="104" t="s">
        <v>49</v>
      </c>
      <c r="I68" s="104" t="s">
        <v>18</v>
      </c>
      <c r="J68" s="148">
        <f>M28-O28-N28-L28+I28</f>
        <v>174473</v>
      </c>
      <c r="K68" s="149">
        <v>174473</v>
      </c>
      <c r="L68" s="150">
        <f t="shared" si="14"/>
        <v>0</v>
      </c>
    </row>
    <row r="69" spans="3:14" x14ac:dyDescent="0.35">
      <c r="C69" s="161" t="s">
        <v>74</v>
      </c>
      <c r="D69" s="233">
        <f>D61-D68</f>
        <v>2240693</v>
      </c>
      <c r="E69" s="234"/>
      <c r="F69" s="148"/>
      <c r="H69" s="104" t="s">
        <v>49</v>
      </c>
      <c r="I69" s="104" t="s">
        <v>15</v>
      </c>
      <c r="J69" s="148">
        <f>M29-O29-N29-L29+I29</f>
        <v>35126</v>
      </c>
      <c r="K69" s="149">
        <v>35126</v>
      </c>
      <c r="L69" s="150">
        <f t="shared" si="14"/>
        <v>0</v>
      </c>
    </row>
    <row r="70" spans="3:14" x14ac:dyDescent="0.35">
      <c r="C70" s="139"/>
      <c r="D70" s="225">
        <v>3102990</v>
      </c>
      <c r="E70" s="226"/>
      <c r="H70" s="104" t="s">
        <v>49</v>
      </c>
      <c r="I70" s="104" t="s">
        <v>50</v>
      </c>
      <c r="J70" s="148">
        <f>M31-O31-N31-L31+I31+I30</f>
        <v>1313903</v>
      </c>
      <c r="K70" s="162">
        <v>1382171</v>
      </c>
      <c r="L70" s="150">
        <f t="shared" si="14"/>
        <v>-68268</v>
      </c>
    </row>
    <row r="71" spans="3:14" x14ac:dyDescent="0.35">
      <c r="C71" s="139"/>
      <c r="D71" s="225">
        <f>D69-D70</f>
        <v>-862297</v>
      </c>
      <c r="E71" s="226"/>
      <c r="H71" s="104" t="s">
        <v>49</v>
      </c>
      <c r="I71" s="104" t="s">
        <v>20</v>
      </c>
      <c r="J71" s="148">
        <f>'Opening Balance FEB 2026'!F24</f>
        <v>66046</v>
      </c>
      <c r="K71" s="149">
        <v>66046</v>
      </c>
      <c r="L71" s="150">
        <f t="shared" si="14"/>
        <v>0</v>
      </c>
    </row>
    <row r="72" spans="3:14" x14ac:dyDescent="0.35">
      <c r="H72" s="104" t="s">
        <v>49</v>
      </c>
      <c r="I72" s="104" t="s">
        <v>47</v>
      </c>
      <c r="J72" s="148">
        <f>'Opening Balance FEB 2026'!F25</f>
        <v>23570</v>
      </c>
      <c r="K72" s="149">
        <v>23570</v>
      </c>
      <c r="L72" s="150">
        <f t="shared" si="14"/>
        <v>0</v>
      </c>
    </row>
    <row r="73" spans="3:14" x14ac:dyDescent="0.35">
      <c r="H73" s="152" t="s">
        <v>45</v>
      </c>
      <c r="I73" s="152"/>
      <c r="J73" s="153">
        <f>SUM(J67:J72)</f>
        <v>3408165</v>
      </c>
      <c r="K73" s="149">
        <v>3334342</v>
      </c>
      <c r="L73" s="150">
        <f t="shared" si="14"/>
        <v>73823</v>
      </c>
      <c r="N73" s="148"/>
    </row>
    <row r="74" spans="3:14" x14ac:dyDescent="0.35">
      <c r="H74" s="147" t="s">
        <v>42</v>
      </c>
      <c r="I74" s="147" t="s">
        <v>43</v>
      </c>
      <c r="J74" s="147" t="s">
        <v>44</v>
      </c>
    </row>
    <row r="75" spans="3:14" x14ac:dyDescent="0.35">
      <c r="H75" s="104" t="s">
        <v>52</v>
      </c>
      <c r="I75" s="104" t="s">
        <v>53</v>
      </c>
      <c r="J75" s="148">
        <f>M21-O21-N21-L21+I21-G74</f>
        <v>33969</v>
      </c>
      <c r="K75" s="148">
        <v>33969</v>
      </c>
      <c r="L75" s="150">
        <f>J75-K75</f>
        <v>0</v>
      </c>
    </row>
    <row r="76" spans="3:14" x14ac:dyDescent="0.35">
      <c r="H76" s="104" t="s">
        <v>52</v>
      </c>
      <c r="I76" s="104" t="s">
        <v>47</v>
      </c>
      <c r="J76" s="148">
        <f>M22-O22-N22-L22+I22</f>
        <v>142892</v>
      </c>
      <c r="K76" s="162">
        <v>151366</v>
      </c>
      <c r="L76" s="150">
        <f>J76-K76</f>
        <v>-8474</v>
      </c>
    </row>
    <row r="77" spans="3:14" x14ac:dyDescent="0.35">
      <c r="H77" s="152" t="s">
        <v>45</v>
      </c>
      <c r="I77" s="152"/>
      <c r="J77" s="153">
        <f>SUM(J75:J76)</f>
        <v>176861</v>
      </c>
      <c r="K77" s="148">
        <v>160846</v>
      </c>
      <c r="L77" s="150">
        <f>J77-K77</f>
        <v>16015</v>
      </c>
    </row>
    <row r="78" spans="3:14" x14ac:dyDescent="0.35">
      <c r="G78" s="104">
        <v>0</v>
      </c>
      <c r="H78" s="147" t="s">
        <v>42</v>
      </c>
      <c r="I78" s="147" t="s">
        <v>43</v>
      </c>
      <c r="J78" s="147" t="s">
        <v>44</v>
      </c>
      <c r="K78" s="149">
        <v>0</v>
      </c>
      <c r="L78" s="150"/>
    </row>
    <row r="79" spans="3:14" x14ac:dyDescent="0.35">
      <c r="H79" s="104" t="s">
        <v>54</v>
      </c>
      <c r="I79" s="104" t="s">
        <v>53</v>
      </c>
      <c r="J79" s="148">
        <f>M24-O24-N24-L24+I24-G78</f>
        <v>89658</v>
      </c>
      <c r="K79" s="149">
        <v>89658</v>
      </c>
      <c r="L79" s="150">
        <f>J79-K79</f>
        <v>0</v>
      </c>
    </row>
    <row r="80" spans="3:14" x14ac:dyDescent="0.35">
      <c r="H80" s="104" t="s">
        <v>54</v>
      </c>
      <c r="I80" s="104" t="s">
        <v>18</v>
      </c>
      <c r="J80" s="148">
        <f>M25-O25-N25-L25+I25</f>
        <v>17000</v>
      </c>
      <c r="K80" s="149">
        <v>67000</v>
      </c>
      <c r="L80" s="150">
        <f>J80-K80</f>
        <v>-50000</v>
      </c>
    </row>
    <row r="81" spans="4:12" x14ac:dyDescent="0.35">
      <c r="H81" s="152" t="s">
        <v>45</v>
      </c>
      <c r="I81" s="152"/>
      <c r="J81" s="153">
        <f>SUM(J79:J80)</f>
        <v>106658</v>
      </c>
      <c r="K81" s="148">
        <f>SUM(K78:K80)</f>
        <v>156658</v>
      </c>
      <c r="L81" s="150">
        <f>J81-K81</f>
        <v>-50000</v>
      </c>
    </row>
    <row r="82" spans="4:12" x14ac:dyDescent="0.35">
      <c r="H82" s="147" t="s">
        <v>42</v>
      </c>
      <c r="I82" s="147" t="s">
        <v>43</v>
      </c>
      <c r="J82" s="147" t="s">
        <v>44</v>
      </c>
      <c r="K82" s="149">
        <v>0</v>
      </c>
      <c r="L82" s="150"/>
    </row>
    <row r="83" spans="4:12" x14ac:dyDescent="0.35">
      <c r="H83" s="104" t="s">
        <v>55</v>
      </c>
      <c r="I83" s="104" t="s">
        <v>56</v>
      </c>
      <c r="J83" s="148">
        <f>'Opening Balance FEB 2026'!F36</f>
        <v>103541</v>
      </c>
      <c r="K83" s="149">
        <v>103541</v>
      </c>
      <c r="L83" s="150">
        <f>J83-K83</f>
        <v>0</v>
      </c>
    </row>
    <row r="84" spans="4:12" x14ac:dyDescent="0.35">
      <c r="H84" s="104" t="s">
        <v>55</v>
      </c>
      <c r="I84" s="104" t="s">
        <v>47</v>
      </c>
      <c r="J84" s="148">
        <f>'Opening Balance FEB 2026'!F37</f>
        <v>6013</v>
      </c>
      <c r="K84" s="149">
        <v>6013</v>
      </c>
      <c r="L84" s="150">
        <f>J84-K84</f>
        <v>0</v>
      </c>
    </row>
    <row r="85" spans="4:12" x14ac:dyDescent="0.35">
      <c r="H85" s="152" t="s">
        <v>45</v>
      </c>
      <c r="I85" s="152"/>
      <c r="J85" s="153">
        <v>109554</v>
      </c>
      <c r="K85" s="148">
        <f>SUM(K82:K84)</f>
        <v>109554</v>
      </c>
      <c r="L85" s="150">
        <f>J85-K85</f>
        <v>0</v>
      </c>
    </row>
    <row r="86" spans="4:12" x14ac:dyDescent="0.35">
      <c r="H86" s="147" t="s">
        <v>42</v>
      </c>
      <c r="I86" s="147" t="s">
        <v>43</v>
      </c>
      <c r="J86" s="147" t="s">
        <v>44</v>
      </c>
      <c r="K86" s="149">
        <v>0</v>
      </c>
      <c r="L86" s="150"/>
    </row>
    <row r="87" spans="4:12" x14ac:dyDescent="0.35">
      <c r="H87" s="104" t="s">
        <v>57</v>
      </c>
      <c r="I87" s="104" t="s">
        <v>47</v>
      </c>
      <c r="J87" s="148">
        <f>'Opening Balance FEB 2026'!F40</f>
        <v>16440</v>
      </c>
      <c r="K87" s="149">
        <v>16440</v>
      </c>
      <c r="L87" s="150">
        <f>J87-K87</f>
        <v>0</v>
      </c>
    </row>
    <row r="88" spans="4:12" x14ac:dyDescent="0.35">
      <c r="H88" s="152" t="s">
        <v>45</v>
      </c>
      <c r="I88" s="152"/>
      <c r="J88" s="153">
        <v>16440</v>
      </c>
      <c r="K88" s="149">
        <f>SUM(K86:K87)</f>
        <v>16440</v>
      </c>
    </row>
    <row r="89" spans="4:12" x14ac:dyDescent="0.35">
      <c r="J89" s="148"/>
    </row>
    <row r="90" spans="4:12" x14ac:dyDescent="0.35">
      <c r="H90" s="163" t="s">
        <v>58</v>
      </c>
      <c r="I90" s="163"/>
      <c r="J90" s="164">
        <f>J88+J85+J81+J77+J73+J65+J57</f>
        <v>14853951</v>
      </c>
    </row>
    <row r="92" spans="4:12" x14ac:dyDescent="0.35">
      <c r="D92" s="165" t="s">
        <v>82</v>
      </c>
      <c r="E92" s="165"/>
      <c r="F92" s="165"/>
      <c r="G92" s="165"/>
      <c r="H92" s="165"/>
    </row>
    <row r="93" spans="4:12" x14ac:dyDescent="0.35">
      <c r="D93" s="158" t="s">
        <v>42</v>
      </c>
      <c r="E93" s="158" t="s">
        <v>43</v>
      </c>
      <c r="F93" s="158" t="s">
        <v>79</v>
      </c>
      <c r="G93" s="158" t="s">
        <v>80</v>
      </c>
      <c r="H93" s="158" t="s">
        <v>81</v>
      </c>
    </row>
    <row r="94" spans="4:12" x14ac:dyDescent="0.35">
      <c r="D94" s="139" t="s">
        <v>14</v>
      </c>
      <c r="E94" s="139" t="s">
        <v>15</v>
      </c>
      <c r="F94" s="166">
        <f>H5</f>
        <v>0</v>
      </c>
      <c r="G94" s="166">
        <f>O5</f>
        <v>28855</v>
      </c>
      <c r="H94" s="166">
        <f>I5</f>
        <v>0</v>
      </c>
    </row>
    <row r="95" spans="4:12" x14ac:dyDescent="0.35">
      <c r="D95" s="139" t="s">
        <v>14</v>
      </c>
      <c r="E95" s="139" t="s">
        <v>17</v>
      </c>
      <c r="F95" s="166">
        <f>H6</f>
        <v>1030011</v>
      </c>
      <c r="G95" s="166">
        <f>O6</f>
        <v>0</v>
      </c>
      <c r="H95" s="166">
        <f>I6</f>
        <v>1030011</v>
      </c>
    </row>
    <row r="96" spans="4:12" x14ac:dyDescent="0.35">
      <c r="D96" s="139" t="s">
        <v>14</v>
      </c>
      <c r="E96" s="139" t="s">
        <v>18</v>
      </c>
      <c r="F96" s="166">
        <f>H7</f>
        <v>88829</v>
      </c>
      <c r="G96" s="166">
        <f>O7</f>
        <v>171066</v>
      </c>
      <c r="H96" s="166">
        <f>I7</f>
        <v>20143</v>
      </c>
    </row>
    <row r="97" spans="4:8" x14ac:dyDescent="0.35">
      <c r="D97" s="139" t="s">
        <v>14</v>
      </c>
      <c r="E97" s="139" t="s">
        <v>19</v>
      </c>
      <c r="F97" s="166">
        <f>H8</f>
        <v>123888</v>
      </c>
      <c r="G97" s="166">
        <f>O8</f>
        <v>79101</v>
      </c>
      <c r="H97" s="166">
        <f>I8</f>
        <v>105634</v>
      </c>
    </row>
    <row r="98" spans="4:8" x14ac:dyDescent="0.35">
      <c r="D98" s="139" t="s">
        <v>14</v>
      </c>
      <c r="E98" s="139" t="s">
        <v>20</v>
      </c>
      <c r="F98" s="166">
        <f>H9</f>
        <v>44254</v>
      </c>
      <c r="G98" s="166">
        <f>O9</f>
        <v>53636</v>
      </c>
      <c r="H98" s="166">
        <f>I9</f>
        <v>8937</v>
      </c>
    </row>
    <row r="99" spans="4:8" x14ac:dyDescent="0.35">
      <c r="D99" s="139" t="s">
        <v>14</v>
      </c>
      <c r="E99" s="139" t="s">
        <v>21</v>
      </c>
      <c r="F99" s="166" t="e">
        <f>#REF!+#REF!</f>
        <v>#REF!</v>
      </c>
      <c r="G99" s="166" t="e">
        <f>#REF!</f>
        <v>#REF!</v>
      </c>
      <c r="H99" s="166" t="e">
        <f>#REF!</f>
        <v>#REF!</v>
      </c>
    </row>
    <row r="100" spans="4:8" x14ac:dyDescent="0.35">
      <c r="D100" s="167" t="s">
        <v>45</v>
      </c>
      <c r="E100" s="167"/>
      <c r="F100" s="168" t="e">
        <f>SUM(F94:F99)</f>
        <v>#REF!</v>
      </c>
      <c r="G100" s="168" t="e">
        <f t="shared" ref="G100" si="15">SUM(G94:G99)</f>
        <v>#REF!</v>
      </c>
      <c r="H100" s="168" t="e">
        <f>SUM(H94:H99)</f>
        <v>#REF!</v>
      </c>
    </row>
    <row r="101" spans="4:8" x14ac:dyDescent="0.35">
      <c r="D101" s="158" t="s">
        <v>42</v>
      </c>
      <c r="E101" s="158" t="s">
        <v>43</v>
      </c>
      <c r="F101" s="169" t="s">
        <v>79</v>
      </c>
      <c r="G101" s="169" t="s">
        <v>80</v>
      </c>
      <c r="H101" s="169" t="s">
        <v>81</v>
      </c>
    </row>
    <row r="102" spans="4:8" x14ac:dyDescent="0.35">
      <c r="D102" s="139" t="s">
        <v>46</v>
      </c>
      <c r="E102" s="139" t="s">
        <v>48</v>
      </c>
      <c r="F102" s="166">
        <f>H13</f>
        <v>94463</v>
      </c>
      <c r="G102" s="166">
        <f>O13</f>
        <v>44074</v>
      </c>
      <c r="H102" s="166">
        <f>I13</f>
        <v>65869</v>
      </c>
    </row>
    <row r="103" spans="4:8" x14ac:dyDescent="0.35">
      <c r="D103" s="139" t="s">
        <v>46</v>
      </c>
      <c r="E103" s="139" t="s">
        <v>47</v>
      </c>
      <c r="F103" s="166">
        <f>H14</f>
        <v>159578</v>
      </c>
      <c r="G103" s="166">
        <f>O14</f>
        <v>0</v>
      </c>
      <c r="H103" s="166">
        <f>I14</f>
        <v>120926</v>
      </c>
    </row>
    <row r="104" spans="4:8" x14ac:dyDescent="0.35">
      <c r="D104" s="139" t="s">
        <v>27</v>
      </c>
      <c r="E104" s="139" t="s">
        <v>47</v>
      </c>
      <c r="F104" s="166">
        <v>0</v>
      </c>
      <c r="G104" s="166">
        <v>0</v>
      </c>
      <c r="H104" s="166">
        <v>0</v>
      </c>
    </row>
    <row r="105" spans="4:8" x14ac:dyDescent="0.35">
      <c r="D105" s="167" t="s">
        <v>45</v>
      </c>
      <c r="E105" s="167"/>
      <c r="F105" s="168">
        <f>SUM(F102:F104)</f>
        <v>254041</v>
      </c>
      <c r="G105" s="168">
        <f>SUM(G102:G104)</f>
        <v>44074</v>
      </c>
      <c r="H105" s="168">
        <f>SUM(H102:H104)</f>
        <v>186795</v>
      </c>
    </row>
    <row r="106" spans="4:8" x14ac:dyDescent="0.35">
      <c r="D106" s="158" t="s">
        <v>42</v>
      </c>
      <c r="E106" s="158" t="s">
        <v>43</v>
      </c>
      <c r="F106" s="169" t="s">
        <v>79</v>
      </c>
      <c r="G106" s="169" t="s">
        <v>80</v>
      </c>
      <c r="H106" s="169" t="s">
        <v>81</v>
      </c>
    </row>
    <row r="107" spans="4:8" x14ac:dyDescent="0.35">
      <c r="D107" s="139" t="s">
        <v>49</v>
      </c>
      <c r="E107" s="139" t="s">
        <v>51</v>
      </c>
      <c r="F107" s="166" t="e">
        <f>#REF!</f>
        <v>#REF!</v>
      </c>
      <c r="G107" s="166" t="e">
        <f>#REF!</f>
        <v>#REF!</v>
      </c>
      <c r="H107" s="166" t="e">
        <f>#REF!</f>
        <v>#REF!</v>
      </c>
    </row>
    <row r="108" spans="4:8" x14ac:dyDescent="0.35">
      <c r="D108" s="139" t="s">
        <v>49</v>
      </c>
      <c r="E108" s="139" t="s">
        <v>18</v>
      </c>
      <c r="F108" s="166">
        <f>H28</f>
        <v>0</v>
      </c>
      <c r="G108" s="166">
        <f>O28</f>
        <v>0</v>
      </c>
      <c r="H108" s="166">
        <v>0</v>
      </c>
    </row>
    <row r="109" spans="4:8" x14ac:dyDescent="0.35">
      <c r="D109" s="139" t="s">
        <v>49</v>
      </c>
      <c r="E109" s="139" t="s">
        <v>50</v>
      </c>
      <c r="F109" s="166" t="e">
        <f>#REF!+#REF!</f>
        <v>#REF!</v>
      </c>
      <c r="G109" s="166" t="e">
        <f>#REF!</f>
        <v>#REF!</v>
      </c>
      <c r="H109" s="166" t="e">
        <f>#REF!+#REF!</f>
        <v>#REF!</v>
      </c>
    </row>
    <row r="110" spans="4:8" x14ac:dyDescent="0.35">
      <c r="D110" s="167" t="s">
        <v>45</v>
      </c>
      <c r="E110" s="167"/>
      <c r="F110" s="168" t="e">
        <f>SUM(F107:F109)</f>
        <v>#REF!</v>
      </c>
      <c r="G110" s="168" t="e">
        <f>SUM(G107:G109)</f>
        <v>#REF!</v>
      </c>
      <c r="H110" s="168" t="e">
        <f>SUM(H107:H109)</f>
        <v>#REF!</v>
      </c>
    </row>
    <row r="111" spans="4:8" x14ac:dyDescent="0.35">
      <c r="D111" s="158" t="s">
        <v>42</v>
      </c>
      <c r="E111" s="158" t="s">
        <v>43</v>
      </c>
      <c r="F111" s="169" t="s">
        <v>79</v>
      </c>
      <c r="G111" s="169" t="s">
        <v>80</v>
      </c>
      <c r="H111" s="169" t="s">
        <v>81</v>
      </c>
    </row>
    <row r="112" spans="4:8" x14ac:dyDescent="0.35">
      <c r="D112" s="139" t="s">
        <v>52</v>
      </c>
      <c r="E112" s="139" t="s">
        <v>53</v>
      </c>
      <c r="F112" s="166">
        <f>H21</f>
        <v>0</v>
      </c>
      <c r="G112" s="166">
        <f>O21</f>
        <v>0</v>
      </c>
      <c r="H112" s="166">
        <f>I21</f>
        <v>0</v>
      </c>
    </row>
    <row r="113" spans="4:8" x14ac:dyDescent="0.35">
      <c r="D113" s="167" t="s">
        <v>45</v>
      </c>
      <c r="E113" s="167"/>
      <c r="F113" s="168">
        <f>SUM(F112)</f>
        <v>0</v>
      </c>
      <c r="G113" s="168">
        <f t="shared" ref="G113" si="16">SUM(G112)</f>
        <v>0</v>
      </c>
      <c r="H113" s="168">
        <f>SUM(H112)</f>
        <v>0</v>
      </c>
    </row>
    <row r="114" spans="4:8" x14ac:dyDescent="0.35">
      <c r="D114" s="158" t="s">
        <v>42</v>
      </c>
      <c r="E114" s="158" t="s">
        <v>43</v>
      </c>
      <c r="F114" s="169" t="s">
        <v>79</v>
      </c>
      <c r="G114" s="169" t="s">
        <v>80</v>
      </c>
      <c r="H114" s="169" t="s">
        <v>81</v>
      </c>
    </row>
    <row r="115" spans="4:8" x14ac:dyDescent="0.35">
      <c r="D115" s="139" t="s">
        <v>54</v>
      </c>
      <c r="E115" s="139" t="s">
        <v>53</v>
      </c>
      <c r="F115" s="166">
        <f>H24</f>
        <v>0</v>
      </c>
      <c r="G115" s="166">
        <f>O24</f>
        <v>0</v>
      </c>
      <c r="H115" s="166">
        <f>I24</f>
        <v>0</v>
      </c>
    </row>
    <row r="116" spans="4:8" x14ac:dyDescent="0.35">
      <c r="D116" s="139" t="s">
        <v>54</v>
      </c>
      <c r="E116" s="139" t="s">
        <v>18</v>
      </c>
      <c r="F116" s="166">
        <f>H25</f>
        <v>0</v>
      </c>
      <c r="G116" s="166">
        <f>O25</f>
        <v>0</v>
      </c>
      <c r="H116" s="166">
        <f>I25</f>
        <v>0</v>
      </c>
    </row>
    <row r="117" spans="4:8" x14ac:dyDescent="0.35">
      <c r="D117" s="167" t="s">
        <v>45</v>
      </c>
      <c r="E117" s="167"/>
      <c r="F117" s="168">
        <f>SUM(F115:F116)</f>
        <v>0</v>
      </c>
      <c r="G117" s="168">
        <f t="shared" ref="G117" si="17">SUM(G115:G116)</f>
        <v>0</v>
      </c>
      <c r="H117" s="168">
        <f>SUM(H115:H116)</f>
        <v>0</v>
      </c>
    </row>
    <row r="118" spans="4:8" x14ac:dyDescent="0.35">
      <c r="D118" s="170"/>
      <c r="E118" s="170"/>
      <c r="F118" s="171" t="e">
        <f>F117+F113+F110+F105+F100</f>
        <v>#REF!</v>
      </c>
      <c r="G118" s="171" t="e">
        <f t="shared" ref="G118" si="18">G117+G113+G110+G105+G100</f>
        <v>#REF!</v>
      </c>
      <c r="H118" s="171" t="e">
        <f>H117+H113+H110+H105+H100</f>
        <v>#REF!</v>
      </c>
    </row>
  </sheetData>
  <mergeCells count="43">
    <mergeCell ref="M44:O44"/>
    <mergeCell ref="C2:O2"/>
    <mergeCell ref="C3:O3"/>
    <mergeCell ref="H34:I34"/>
    <mergeCell ref="K35:L35"/>
    <mergeCell ref="M35:O35"/>
    <mergeCell ref="C36:D36"/>
    <mergeCell ref="K36:L36"/>
    <mergeCell ref="K37:L37"/>
    <mergeCell ref="K38:L38"/>
    <mergeCell ref="K39:L39"/>
    <mergeCell ref="K40:L40"/>
    <mergeCell ref="K44:L44"/>
    <mergeCell ref="K45:L45"/>
    <mergeCell ref="M45:O45"/>
    <mergeCell ref="K46:L46"/>
    <mergeCell ref="M46:O46"/>
    <mergeCell ref="K47:L47"/>
    <mergeCell ref="M47:O47"/>
    <mergeCell ref="D59:E59"/>
    <mergeCell ref="K48:L48"/>
    <mergeCell ref="M48:O48"/>
    <mergeCell ref="H49:J49"/>
    <mergeCell ref="K49:K50"/>
    <mergeCell ref="C52:E52"/>
    <mergeCell ref="C53:E53"/>
    <mergeCell ref="D54:E54"/>
    <mergeCell ref="D55:E55"/>
    <mergeCell ref="D56:E56"/>
    <mergeCell ref="D57:E57"/>
    <mergeCell ref="D58:E58"/>
    <mergeCell ref="D71:E71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7"/>
  <sheetViews>
    <sheetView topLeftCell="A37" zoomScale="54" zoomScaleNormal="54" workbookViewId="0">
      <selection activeCell="J93" sqref="J93"/>
    </sheetView>
  </sheetViews>
  <sheetFormatPr defaultRowHeight="23.25" x14ac:dyDescent="0.35"/>
  <cols>
    <col min="1" max="1" width="5.5703125" style="104" customWidth="1"/>
    <col min="2" max="2" width="0.140625" style="104" hidden="1" customWidth="1"/>
    <col min="3" max="3" width="20.85546875" style="104" customWidth="1"/>
    <col min="4" max="4" width="26.42578125" style="104" customWidth="1"/>
    <col min="5" max="5" width="27.5703125" style="104" bestFit="1" customWidth="1"/>
    <col min="6" max="6" width="32.28515625" style="104" bestFit="1" customWidth="1"/>
    <col min="7" max="7" width="26.42578125" style="104" customWidth="1"/>
    <col min="8" max="8" width="22.85546875" style="104" customWidth="1"/>
    <col min="9" max="9" width="23.5703125" style="104" customWidth="1"/>
    <col min="10" max="10" width="26.5703125" style="104" bestFit="1" customWidth="1"/>
    <col min="11" max="11" width="23.7109375" style="104" customWidth="1"/>
    <col min="12" max="12" width="22.5703125" style="104" customWidth="1"/>
    <col min="13" max="13" width="26.42578125" style="104" customWidth="1"/>
    <col min="14" max="14" width="17.5703125" style="104" customWidth="1"/>
    <col min="15" max="15" width="22" style="104" customWidth="1"/>
    <col min="16" max="16" width="7.5703125" style="104" customWidth="1"/>
    <col min="17" max="17" width="14.28515625" style="104" bestFit="1" customWidth="1"/>
    <col min="18" max="18" width="11.42578125" style="104" customWidth="1"/>
    <col min="19" max="16384" width="9.140625" style="104"/>
  </cols>
  <sheetData>
    <row r="2" spans="1:16" x14ac:dyDescent="0.35">
      <c r="C2" s="246">
        <v>46111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8"/>
    </row>
    <row r="3" spans="1:16" x14ac:dyDescent="0.35">
      <c r="C3" s="249" t="s">
        <v>0</v>
      </c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6" ht="93" x14ac:dyDescent="0.35">
      <c r="A4" s="186"/>
      <c r="C4" s="106" t="s">
        <v>1</v>
      </c>
      <c r="D4" s="106" t="s">
        <v>2</v>
      </c>
      <c r="E4" s="106" t="s">
        <v>3</v>
      </c>
      <c r="F4" s="106" t="s">
        <v>4</v>
      </c>
      <c r="G4" s="106" t="s">
        <v>5</v>
      </c>
      <c r="H4" s="106" t="s">
        <v>6</v>
      </c>
      <c r="I4" s="106" t="s">
        <v>7</v>
      </c>
      <c r="J4" s="106" t="s">
        <v>8</v>
      </c>
      <c r="K4" s="107" t="s">
        <v>9</v>
      </c>
      <c r="L4" s="107" t="s">
        <v>10</v>
      </c>
      <c r="M4" s="108" t="s">
        <v>11</v>
      </c>
      <c r="N4" s="109" t="s">
        <v>12</v>
      </c>
      <c r="O4" s="106" t="s">
        <v>13</v>
      </c>
    </row>
    <row r="5" spans="1:16" x14ac:dyDescent="0.35">
      <c r="A5" s="110"/>
      <c r="C5" s="111" t="s">
        <v>14</v>
      </c>
      <c r="D5" s="112" t="s">
        <v>15</v>
      </c>
      <c r="E5" s="113" t="s">
        <v>95</v>
      </c>
      <c r="F5" s="114">
        <v>205276</v>
      </c>
      <c r="G5" s="114">
        <v>1851</v>
      </c>
      <c r="H5" s="115">
        <f>F5-G5</f>
        <v>203425</v>
      </c>
      <c r="I5" s="115">
        <f>H5-J5</f>
        <v>35541</v>
      </c>
      <c r="J5" s="116">
        <v>167884</v>
      </c>
      <c r="K5" s="117">
        <v>0</v>
      </c>
      <c r="L5" s="116">
        <v>1990</v>
      </c>
      <c r="M5" s="114">
        <f>'29-03-2026'!J51</f>
        <v>323697</v>
      </c>
      <c r="N5" s="117">
        <v>0</v>
      </c>
      <c r="O5" s="118">
        <v>20266</v>
      </c>
      <c r="P5" s="119"/>
    </row>
    <row r="6" spans="1:16" x14ac:dyDescent="0.35">
      <c r="A6" s="110"/>
      <c r="C6" s="111" t="s">
        <v>14</v>
      </c>
      <c r="D6" s="112" t="s">
        <v>17</v>
      </c>
      <c r="E6" s="113" t="s">
        <v>98</v>
      </c>
      <c r="F6" s="114">
        <v>0</v>
      </c>
      <c r="G6" s="114">
        <v>0</v>
      </c>
      <c r="H6" s="115">
        <f t="shared" ref="H6:H10" si="0">F6-G6</f>
        <v>0</v>
      </c>
      <c r="I6" s="115">
        <f t="shared" ref="I6:I10" si="1">H6-J6</f>
        <v>0</v>
      </c>
      <c r="J6" s="116">
        <v>0</v>
      </c>
      <c r="K6" s="117">
        <v>0</v>
      </c>
      <c r="L6" s="116">
        <v>0</v>
      </c>
      <c r="M6" s="114">
        <f>'29-03-2026'!J52</f>
        <v>3394573</v>
      </c>
      <c r="N6" s="117">
        <v>0</v>
      </c>
      <c r="O6" s="118">
        <v>0</v>
      </c>
    </row>
    <row r="7" spans="1:16" x14ac:dyDescent="0.35">
      <c r="A7" s="110"/>
      <c r="C7" s="111" t="s">
        <v>14</v>
      </c>
      <c r="D7" s="112" t="s">
        <v>18</v>
      </c>
      <c r="E7" s="113" t="s">
        <v>98</v>
      </c>
      <c r="F7" s="114">
        <v>118483</v>
      </c>
      <c r="G7" s="114">
        <v>0</v>
      </c>
      <c r="H7" s="115">
        <f t="shared" si="0"/>
        <v>118483</v>
      </c>
      <c r="I7" s="115">
        <f t="shared" si="1"/>
        <v>99006</v>
      </c>
      <c r="J7" s="116">
        <v>19477</v>
      </c>
      <c r="K7" s="117">
        <v>0</v>
      </c>
      <c r="L7" s="116">
        <v>0</v>
      </c>
      <c r="M7" s="114">
        <f>'29-03-2026'!J53</f>
        <v>1539359</v>
      </c>
      <c r="N7" s="117">
        <v>14800</v>
      </c>
      <c r="O7" s="118">
        <v>103383</v>
      </c>
    </row>
    <row r="8" spans="1:16" x14ac:dyDescent="0.35">
      <c r="A8" s="110"/>
      <c r="C8" s="111" t="s">
        <v>14</v>
      </c>
      <c r="D8" s="112" t="s">
        <v>19</v>
      </c>
      <c r="E8" s="113" t="s">
        <v>86</v>
      </c>
      <c r="F8" s="114">
        <v>66609</v>
      </c>
      <c r="G8" s="114">
        <v>1361</v>
      </c>
      <c r="H8" s="115">
        <f t="shared" si="0"/>
        <v>65248</v>
      </c>
      <c r="I8" s="115">
        <f t="shared" si="1"/>
        <v>42780</v>
      </c>
      <c r="J8" s="116">
        <v>22468</v>
      </c>
      <c r="K8" s="117">
        <v>0</v>
      </c>
      <c r="L8" s="116">
        <v>1307</v>
      </c>
      <c r="M8" s="114">
        <f>'29-03-2026'!J54</f>
        <v>1351086</v>
      </c>
      <c r="N8" s="117">
        <v>22191</v>
      </c>
      <c r="O8" s="118">
        <v>112127</v>
      </c>
    </row>
    <row r="9" spans="1:16" x14ac:dyDescent="0.35">
      <c r="A9" s="110"/>
      <c r="C9" s="111" t="s">
        <v>14</v>
      </c>
      <c r="D9" s="112" t="s">
        <v>20</v>
      </c>
      <c r="E9" s="113" t="s">
        <v>95</v>
      </c>
      <c r="F9" s="114">
        <v>83723</v>
      </c>
      <c r="G9" s="114">
        <v>1379</v>
      </c>
      <c r="H9" s="115">
        <f t="shared" si="0"/>
        <v>82344</v>
      </c>
      <c r="I9" s="115">
        <f t="shared" si="1"/>
        <v>33369</v>
      </c>
      <c r="J9" s="116">
        <v>48975</v>
      </c>
      <c r="K9" s="117">
        <v>0</v>
      </c>
      <c r="L9" s="116">
        <v>0</v>
      </c>
      <c r="M9" s="114">
        <f>'29-03-2026'!J55</f>
        <v>1206488</v>
      </c>
      <c r="N9" s="117">
        <v>11700</v>
      </c>
      <c r="O9" s="118">
        <v>55286</v>
      </c>
    </row>
    <row r="10" spans="1:16" x14ac:dyDescent="0.35">
      <c r="A10" s="110"/>
      <c r="C10" s="111" t="s">
        <v>14</v>
      </c>
      <c r="D10" s="112" t="s">
        <v>21</v>
      </c>
      <c r="E10" s="113" t="s">
        <v>86</v>
      </c>
      <c r="F10" s="114">
        <v>59013</v>
      </c>
      <c r="G10" s="114">
        <v>1093</v>
      </c>
      <c r="H10" s="115">
        <f t="shared" si="0"/>
        <v>57920</v>
      </c>
      <c r="I10" s="115">
        <f t="shared" si="1"/>
        <v>27311</v>
      </c>
      <c r="J10" s="116">
        <v>30609</v>
      </c>
      <c r="K10" s="117">
        <v>0</v>
      </c>
      <c r="L10" s="116">
        <v>0</v>
      </c>
      <c r="M10" s="114">
        <f>'29-03-2026'!J56</f>
        <v>620802</v>
      </c>
      <c r="N10" s="117">
        <v>0</v>
      </c>
      <c r="O10" s="118">
        <v>38957</v>
      </c>
    </row>
    <row r="11" spans="1:16" x14ac:dyDescent="0.35">
      <c r="A11" s="120"/>
      <c r="C11" s="106" t="s">
        <v>22</v>
      </c>
      <c r="D11" s="106"/>
      <c r="E11" s="106"/>
      <c r="F11" s="121">
        <f t="shared" ref="F11:O11" si="2">SUM(F5:F10)</f>
        <v>533104</v>
      </c>
      <c r="G11" s="121">
        <f t="shared" si="2"/>
        <v>5684</v>
      </c>
      <c r="H11" s="121">
        <f t="shared" si="2"/>
        <v>527420</v>
      </c>
      <c r="I11" s="121">
        <f t="shared" si="2"/>
        <v>238007</v>
      </c>
      <c r="J11" s="121">
        <f t="shared" si="2"/>
        <v>289413</v>
      </c>
      <c r="K11" s="121">
        <f t="shared" si="2"/>
        <v>0</v>
      </c>
      <c r="L11" s="121">
        <f t="shared" si="2"/>
        <v>3297</v>
      </c>
      <c r="M11" s="173">
        <f t="shared" si="2"/>
        <v>8436005</v>
      </c>
      <c r="N11" s="121">
        <f t="shared" si="2"/>
        <v>48691</v>
      </c>
      <c r="O11" s="121">
        <f t="shared" si="2"/>
        <v>330019</v>
      </c>
    </row>
    <row r="12" spans="1:16" x14ac:dyDescent="0.35">
      <c r="C12" s="111" t="s">
        <v>23</v>
      </c>
      <c r="D12" s="112" t="s">
        <v>24</v>
      </c>
      <c r="E12" s="113" t="s">
        <v>85</v>
      </c>
      <c r="F12" s="114">
        <v>43161</v>
      </c>
      <c r="G12" s="114">
        <v>0</v>
      </c>
      <c r="H12" s="115">
        <f t="shared" ref="H12:H30" si="3">F12-G12</f>
        <v>43161</v>
      </c>
      <c r="I12" s="115">
        <f t="shared" ref="I12:I30" si="4">H12-J12</f>
        <v>14817</v>
      </c>
      <c r="J12" s="116">
        <v>28344</v>
      </c>
      <c r="K12" s="117">
        <v>0</v>
      </c>
      <c r="L12" s="116">
        <v>0</v>
      </c>
      <c r="M12" s="114">
        <f>'29-03-2026'!J60</f>
        <v>374604</v>
      </c>
      <c r="N12" s="117">
        <v>2478</v>
      </c>
      <c r="O12" s="116">
        <v>68984</v>
      </c>
    </row>
    <row r="13" spans="1:16" x14ac:dyDescent="0.35">
      <c r="C13" s="111" t="s">
        <v>23</v>
      </c>
      <c r="D13" s="112" t="s">
        <v>25</v>
      </c>
      <c r="E13" s="113" t="s">
        <v>95</v>
      </c>
      <c r="F13" s="114">
        <v>90516</v>
      </c>
      <c r="G13" s="114">
        <v>6631</v>
      </c>
      <c r="H13" s="115">
        <f t="shared" si="3"/>
        <v>83885</v>
      </c>
      <c r="I13" s="115">
        <f t="shared" si="4"/>
        <v>0</v>
      </c>
      <c r="J13" s="116">
        <v>83885</v>
      </c>
      <c r="K13" s="117">
        <v>0</v>
      </c>
      <c r="L13" s="116">
        <v>0</v>
      </c>
      <c r="M13" s="114">
        <f>'29-03-2026'!J61</f>
        <v>1795192</v>
      </c>
      <c r="N13" s="117">
        <v>0</v>
      </c>
      <c r="O13" s="116">
        <v>44613</v>
      </c>
    </row>
    <row r="14" spans="1:16" x14ac:dyDescent="0.35">
      <c r="C14" s="111" t="s">
        <v>23</v>
      </c>
      <c r="D14" s="112" t="s">
        <v>26</v>
      </c>
      <c r="E14" s="113" t="s">
        <v>16</v>
      </c>
      <c r="F14" s="114">
        <v>0</v>
      </c>
      <c r="G14" s="114">
        <v>0</v>
      </c>
      <c r="H14" s="115">
        <f t="shared" si="3"/>
        <v>0</v>
      </c>
      <c r="I14" s="115">
        <f t="shared" si="4"/>
        <v>0</v>
      </c>
      <c r="J14" s="116">
        <v>0</v>
      </c>
      <c r="K14" s="117">
        <v>0</v>
      </c>
      <c r="L14" s="116">
        <v>0</v>
      </c>
      <c r="M14" s="114">
        <f>'29-03-2026'!J62</f>
        <v>379215</v>
      </c>
      <c r="N14" s="117">
        <v>0</v>
      </c>
      <c r="O14" s="116">
        <v>71000</v>
      </c>
    </row>
    <row r="15" spans="1:16" x14ac:dyDescent="0.35">
      <c r="C15" s="111" t="s">
        <v>23</v>
      </c>
      <c r="D15" s="112" t="s">
        <v>20</v>
      </c>
      <c r="E15" s="113" t="s">
        <v>97</v>
      </c>
      <c r="F15" s="114">
        <v>0</v>
      </c>
      <c r="G15" s="114">
        <v>0</v>
      </c>
      <c r="H15" s="115">
        <f t="shared" si="3"/>
        <v>0</v>
      </c>
      <c r="I15" s="115">
        <f t="shared" si="4"/>
        <v>0</v>
      </c>
      <c r="J15" s="116">
        <v>0</v>
      </c>
      <c r="K15" s="117">
        <v>0</v>
      </c>
      <c r="L15" s="116">
        <v>0</v>
      </c>
      <c r="M15" s="114">
        <v>0</v>
      </c>
      <c r="N15" s="117">
        <v>0</v>
      </c>
      <c r="O15" s="116">
        <v>0</v>
      </c>
    </row>
    <row r="16" spans="1:16" x14ac:dyDescent="0.35">
      <c r="C16" s="111" t="s">
        <v>23</v>
      </c>
      <c r="D16" s="112" t="s">
        <v>18</v>
      </c>
      <c r="E16" s="113" t="s">
        <v>16</v>
      </c>
      <c r="F16" s="114">
        <v>0</v>
      </c>
      <c r="G16" s="114">
        <v>0</v>
      </c>
      <c r="H16" s="115">
        <f t="shared" si="3"/>
        <v>0</v>
      </c>
      <c r="I16" s="115">
        <f t="shared" si="4"/>
        <v>0</v>
      </c>
      <c r="J16" s="116">
        <v>0</v>
      </c>
      <c r="K16" s="117">
        <v>0</v>
      </c>
      <c r="L16" s="116">
        <v>0</v>
      </c>
      <c r="M16" s="114">
        <v>0</v>
      </c>
      <c r="N16" s="117">
        <v>0</v>
      </c>
      <c r="O16" s="116">
        <v>0</v>
      </c>
    </row>
    <row r="17" spans="3:15" x14ac:dyDescent="0.35">
      <c r="C17" s="111" t="s">
        <v>23</v>
      </c>
      <c r="D17" s="106"/>
      <c r="E17" s="106"/>
      <c r="F17" s="121">
        <f>SUM(F12:F16)</f>
        <v>133677</v>
      </c>
      <c r="G17" s="121">
        <f>SUM(G12:G16)</f>
        <v>6631</v>
      </c>
      <c r="H17" s="121">
        <f>SUM(H12:H15)</f>
        <v>127046</v>
      </c>
      <c r="I17" s="121">
        <f>SUM(I12:I15)</f>
        <v>14817</v>
      </c>
      <c r="J17" s="121">
        <f>SUM(J12:J16)</f>
        <v>112229</v>
      </c>
      <c r="K17" s="121">
        <f>SUM(K12:K15)</f>
        <v>0</v>
      </c>
      <c r="L17" s="121">
        <f>SUM(L12:L15)</f>
        <v>0</v>
      </c>
      <c r="M17" s="121">
        <f>SUM(M12:M16)</f>
        <v>2549011</v>
      </c>
      <c r="N17" s="121">
        <f>SUM(N12:N15)</f>
        <v>2478</v>
      </c>
      <c r="O17" s="121">
        <f>SUM(O12:O16)</f>
        <v>184597</v>
      </c>
    </row>
    <row r="18" spans="3:15" x14ac:dyDescent="0.35">
      <c r="C18" s="111" t="s">
        <v>27</v>
      </c>
      <c r="D18" s="112" t="s">
        <v>25</v>
      </c>
      <c r="E18" s="113" t="s">
        <v>16</v>
      </c>
      <c r="F18" s="114">
        <v>0</v>
      </c>
      <c r="G18" s="114">
        <v>0</v>
      </c>
      <c r="H18" s="115">
        <f t="shared" si="3"/>
        <v>0</v>
      </c>
      <c r="I18" s="115">
        <f t="shared" si="4"/>
        <v>0</v>
      </c>
      <c r="J18" s="116">
        <v>0</v>
      </c>
      <c r="K18" s="117">
        <v>0</v>
      </c>
      <c r="L18" s="116">
        <v>0</v>
      </c>
      <c r="M18" s="114">
        <f>'29-03-2026'!J64</f>
        <v>51257</v>
      </c>
      <c r="N18" s="117">
        <v>0</v>
      </c>
      <c r="O18" s="116">
        <v>0</v>
      </c>
    </row>
    <row r="19" spans="3:15" x14ac:dyDescent="0.35">
      <c r="C19" s="106"/>
      <c r="D19" s="106"/>
      <c r="E19" s="106"/>
      <c r="F19" s="121">
        <f>SUM(F18)</f>
        <v>0</v>
      </c>
      <c r="G19" s="121">
        <f t="shared" ref="G19:O19" si="5">SUM(G18)</f>
        <v>0</v>
      </c>
      <c r="H19" s="121">
        <f t="shared" si="5"/>
        <v>0</v>
      </c>
      <c r="I19" s="121">
        <f t="shared" si="5"/>
        <v>0</v>
      </c>
      <c r="J19" s="121">
        <f t="shared" si="5"/>
        <v>0</v>
      </c>
      <c r="K19" s="121">
        <f t="shared" si="5"/>
        <v>0</v>
      </c>
      <c r="L19" s="121">
        <f t="shared" si="5"/>
        <v>0</v>
      </c>
      <c r="M19" s="121">
        <f>SUM(M18)</f>
        <v>51257</v>
      </c>
      <c r="N19" s="121">
        <f t="shared" si="5"/>
        <v>0</v>
      </c>
      <c r="O19" s="121">
        <f t="shared" si="5"/>
        <v>0</v>
      </c>
    </row>
    <row r="20" spans="3:15" x14ac:dyDescent="0.35">
      <c r="C20" s="111" t="s">
        <v>28</v>
      </c>
      <c r="D20" s="112" t="s">
        <v>29</v>
      </c>
      <c r="E20" s="113" t="s">
        <v>16</v>
      </c>
      <c r="F20" s="114">
        <v>0</v>
      </c>
      <c r="G20" s="114">
        <v>0</v>
      </c>
      <c r="H20" s="115">
        <f t="shared" si="3"/>
        <v>0</v>
      </c>
      <c r="I20" s="115">
        <f t="shared" si="4"/>
        <v>0</v>
      </c>
      <c r="J20" s="116">
        <v>0</v>
      </c>
      <c r="K20" s="117">
        <v>0</v>
      </c>
      <c r="L20" s="116">
        <v>0</v>
      </c>
      <c r="M20" s="114">
        <f>'29-03-2026'!J75</f>
        <v>33969</v>
      </c>
      <c r="N20" s="117">
        <v>0</v>
      </c>
      <c r="O20" s="116">
        <v>0</v>
      </c>
    </row>
    <row r="21" spans="3:15" x14ac:dyDescent="0.35">
      <c r="C21" s="111" t="s">
        <v>28</v>
      </c>
      <c r="D21" s="112" t="s">
        <v>25</v>
      </c>
      <c r="E21" s="113" t="s">
        <v>16</v>
      </c>
      <c r="F21" s="114">
        <v>0</v>
      </c>
      <c r="G21" s="114">
        <v>0</v>
      </c>
      <c r="H21" s="115">
        <f t="shared" si="3"/>
        <v>0</v>
      </c>
      <c r="I21" s="115">
        <f t="shared" si="4"/>
        <v>0</v>
      </c>
      <c r="J21" s="116">
        <v>0</v>
      </c>
      <c r="K21" s="117">
        <v>0</v>
      </c>
      <c r="L21" s="116">
        <v>0</v>
      </c>
      <c r="M21" s="114">
        <f>'29-03-2026'!J76</f>
        <v>142892</v>
      </c>
      <c r="N21" s="117">
        <v>0</v>
      </c>
      <c r="O21" s="116">
        <v>0</v>
      </c>
    </row>
    <row r="22" spans="3:15" x14ac:dyDescent="0.35">
      <c r="C22" s="106" t="s">
        <v>22</v>
      </c>
      <c r="D22" s="106"/>
      <c r="E22" s="106"/>
      <c r="F22" s="121">
        <f t="shared" ref="F22:L22" si="6">SUM(F20:F21)</f>
        <v>0</v>
      </c>
      <c r="G22" s="121">
        <f t="shared" si="6"/>
        <v>0</v>
      </c>
      <c r="H22" s="121">
        <f t="shared" si="6"/>
        <v>0</v>
      </c>
      <c r="I22" s="121">
        <f t="shared" si="6"/>
        <v>0</v>
      </c>
      <c r="J22" s="121">
        <f t="shared" si="6"/>
        <v>0</v>
      </c>
      <c r="K22" s="121">
        <f>SUM(K20:K21)</f>
        <v>0</v>
      </c>
      <c r="L22" s="121">
        <f t="shared" si="6"/>
        <v>0</v>
      </c>
      <c r="M22" s="121">
        <f>SUM(M20:M21)</f>
        <v>176861</v>
      </c>
      <c r="N22" s="121">
        <f t="shared" ref="N22:O22" si="7">SUM(N20:N21)</f>
        <v>0</v>
      </c>
      <c r="O22" s="121">
        <f t="shared" si="7"/>
        <v>0</v>
      </c>
    </row>
    <row r="23" spans="3:15" x14ac:dyDescent="0.35">
      <c r="C23" s="111" t="s">
        <v>30</v>
      </c>
      <c r="D23" s="112" t="s">
        <v>29</v>
      </c>
      <c r="E23" s="113" t="s">
        <v>16</v>
      </c>
      <c r="F23" s="122">
        <v>0</v>
      </c>
      <c r="G23" s="122">
        <v>0</v>
      </c>
      <c r="H23" s="115">
        <f t="shared" si="3"/>
        <v>0</v>
      </c>
      <c r="I23" s="115">
        <f t="shared" si="4"/>
        <v>0</v>
      </c>
      <c r="J23" s="123">
        <v>0</v>
      </c>
      <c r="K23" s="124">
        <v>0</v>
      </c>
      <c r="L23" s="123">
        <v>0</v>
      </c>
      <c r="M23" s="122">
        <f>'29-03-2026'!J79</f>
        <v>89658</v>
      </c>
      <c r="N23" s="124">
        <v>0</v>
      </c>
      <c r="O23" s="123">
        <v>0</v>
      </c>
    </row>
    <row r="24" spans="3:15" x14ac:dyDescent="0.35">
      <c r="C24" s="111" t="s">
        <v>30</v>
      </c>
      <c r="D24" s="112" t="s">
        <v>31</v>
      </c>
      <c r="E24" s="113" t="s">
        <v>16</v>
      </c>
      <c r="F24" s="122">
        <v>0</v>
      </c>
      <c r="G24" s="122">
        <v>0</v>
      </c>
      <c r="H24" s="115">
        <f t="shared" si="3"/>
        <v>0</v>
      </c>
      <c r="I24" s="115">
        <f t="shared" si="4"/>
        <v>0</v>
      </c>
      <c r="J24" s="123">
        <v>0</v>
      </c>
      <c r="K24" s="124">
        <v>0</v>
      </c>
      <c r="L24" s="123">
        <v>0</v>
      </c>
      <c r="M24" s="122">
        <f>'29-03-2026'!J80</f>
        <v>17000</v>
      </c>
      <c r="N24" s="124">
        <v>0</v>
      </c>
      <c r="O24" s="123">
        <v>0</v>
      </c>
    </row>
    <row r="25" spans="3:15" x14ac:dyDescent="0.35">
      <c r="C25" s="106" t="s">
        <v>22</v>
      </c>
      <c r="D25" s="106"/>
      <c r="E25" s="106"/>
      <c r="F25" s="121">
        <f>SUM(F23:F24)</f>
        <v>0</v>
      </c>
      <c r="G25" s="121">
        <f t="shared" ref="G25:O25" si="8">SUM(G23:G24)</f>
        <v>0</v>
      </c>
      <c r="H25" s="121">
        <f t="shared" si="8"/>
        <v>0</v>
      </c>
      <c r="I25" s="121">
        <f t="shared" si="8"/>
        <v>0</v>
      </c>
      <c r="J25" s="121">
        <f t="shared" si="8"/>
        <v>0</v>
      </c>
      <c r="K25" s="121">
        <f t="shared" si="8"/>
        <v>0</v>
      </c>
      <c r="L25" s="121">
        <f t="shared" si="8"/>
        <v>0</v>
      </c>
      <c r="M25" s="121">
        <f t="shared" si="8"/>
        <v>106658</v>
      </c>
      <c r="N25" s="121">
        <f t="shared" si="8"/>
        <v>0</v>
      </c>
      <c r="O25" s="121">
        <f t="shared" si="8"/>
        <v>0</v>
      </c>
    </row>
    <row r="26" spans="3:15" x14ac:dyDescent="0.35">
      <c r="C26" s="111" t="s">
        <v>32</v>
      </c>
      <c r="D26" s="112" t="s">
        <v>33</v>
      </c>
      <c r="E26" s="113" t="s">
        <v>95</v>
      </c>
      <c r="F26" s="125">
        <v>121803</v>
      </c>
      <c r="G26" s="114">
        <v>0</v>
      </c>
      <c r="H26" s="115">
        <f t="shared" si="3"/>
        <v>121803</v>
      </c>
      <c r="I26" s="115">
        <f t="shared" si="4"/>
        <v>0</v>
      </c>
      <c r="J26" s="116">
        <v>121803</v>
      </c>
      <c r="K26" s="117">
        <v>0</v>
      </c>
      <c r="L26" s="116">
        <v>0</v>
      </c>
      <c r="M26" s="114">
        <f>'29-03-2026'!J67</f>
        <v>1795047</v>
      </c>
      <c r="N26" s="117">
        <v>0</v>
      </c>
      <c r="O26" s="116">
        <v>97490</v>
      </c>
    </row>
    <row r="27" spans="3:15" x14ac:dyDescent="0.35">
      <c r="C27" s="111" t="s">
        <v>32</v>
      </c>
      <c r="D27" s="112" t="s">
        <v>31</v>
      </c>
      <c r="E27" s="113" t="s">
        <v>16</v>
      </c>
      <c r="F27" s="125">
        <v>0</v>
      </c>
      <c r="G27" s="114">
        <v>0</v>
      </c>
      <c r="H27" s="115">
        <f t="shared" si="3"/>
        <v>0</v>
      </c>
      <c r="I27" s="115">
        <f t="shared" si="4"/>
        <v>0</v>
      </c>
      <c r="J27" s="116">
        <v>0</v>
      </c>
      <c r="K27" s="117">
        <v>0</v>
      </c>
      <c r="L27" s="116">
        <v>0</v>
      </c>
      <c r="M27" s="114">
        <f>'29-03-2026'!J68</f>
        <v>174473</v>
      </c>
      <c r="N27" s="117">
        <v>0</v>
      </c>
      <c r="O27" s="116">
        <v>0</v>
      </c>
    </row>
    <row r="28" spans="3:15" x14ac:dyDescent="0.35">
      <c r="C28" s="111" t="s">
        <v>32</v>
      </c>
      <c r="D28" s="112" t="s">
        <v>26</v>
      </c>
      <c r="E28" s="113" t="s">
        <v>16</v>
      </c>
      <c r="F28" s="125">
        <v>0</v>
      </c>
      <c r="G28" s="114">
        <v>0</v>
      </c>
      <c r="H28" s="115">
        <f t="shared" si="3"/>
        <v>0</v>
      </c>
      <c r="I28" s="115">
        <f t="shared" si="4"/>
        <v>0</v>
      </c>
      <c r="J28" s="116">
        <v>0</v>
      </c>
      <c r="K28" s="117">
        <v>0</v>
      </c>
      <c r="L28" s="116">
        <v>0</v>
      </c>
      <c r="M28" s="114">
        <f>'29-03-2026'!J69</f>
        <v>35126</v>
      </c>
      <c r="N28" s="117">
        <v>0</v>
      </c>
      <c r="O28" s="116">
        <v>0</v>
      </c>
    </row>
    <row r="29" spans="3:15" x14ac:dyDescent="0.35">
      <c r="C29" s="111" t="s">
        <v>32</v>
      </c>
      <c r="D29" s="112" t="s">
        <v>34</v>
      </c>
      <c r="E29" s="113" t="s">
        <v>85</v>
      </c>
      <c r="F29" s="125">
        <v>96941</v>
      </c>
      <c r="G29" s="114">
        <v>5992</v>
      </c>
      <c r="H29" s="115">
        <f t="shared" si="3"/>
        <v>90949</v>
      </c>
      <c r="I29" s="115">
        <f t="shared" si="4"/>
        <v>79098</v>
      </c>
      <c r="J29" s="116">
        <v>11851</v>
      </c>
      <c r="K29" s="117">
        <v>0</v>
      </c>
      <c r="L29" s="116">
        <v>0</v>
      </c>
      <c r="M29" s="114">
        <f>'29-03-2026'!J70</f>
        <v>1313903</v>
      </c>
      <c r="N29" s="117">
        <v>0</v>
      </c>
      <c r="O29" s="116">
        <v>0</v>
      </c>
    </row>
    <row r="30" spans="3:15" x14ac:dyDescent="0.35">
      <c r="C30" s="111" t="s">
        <v>32</v>
      </c>
      <c r="D30" s="112" t="s">
        <v>34</v>
      </c>
      <c r="E30" s="113" t="s">
        <v>93</v>
      </c>
      <c r="F30" s="125">
        <v>17560</v>
      </c>
      <c r="G30" s="114">
        <v>0</v>
      </c>
      <c r="H30" s="115">
        <f t="shared" si="3"/>
        <v>17560</v>
      </c>
      <c r="I30" s="115">
        <f t="shared" si="4"/>
        <v>0</v>
      </c>
      <c r="J30" s="116">
        <v>17560</v>
      </c>
      <c r="K30" s="117"/>
      <c r="L30" s="116"/>
      <c r="M30" s="114"/>
      <c r="N30" s="117"/>
      <c r="O30" s="116"/>
    </row>
    <row r="31" spans="3:15" x14ac:dyDescent="0.35">
      <c r="C31" s="106" t="s">
        <v>22</v>
      </c>
      <c r="D31" s="106"/>
      <c r="E31" s="106"/>
      <c r="F31" s="121">
        <f>SUM(F26:F30)</f>
        <v>236304</v>
      </c>
      <c r="G31" s="121">
        <f>SUM(G26:G30)</f>
        <v>5992</v>
      </c>
      <c r="H31" s="121">
        <f t="shared" ref="H31:O31" si="9">SUM(H26:H29)</f>
        <v>212752</v>
      </c>
      <c r="I31" s="121">
        <f t="shared" si="9"/>
        <v>79098</v>
      </c>
      <c r="J31" s="121">
        <f>SUM(J26:J30)</f>
        <v>151214</v>
      </c>
      <c r="K31" s="121">
        <f t="shared" si="9"/>
        <v>0</v>
      </c>
      <c r="L31" s="121">
        <f t="shared" si="9"/>
        <v>0</v>
      </c>
      <c r="M31" s="121">
        <f t="shared" si="9"/>
        <v>3318549</v>
      </c>
      <c r="N31" s="121">
        <f t="shared" si="9"/>
        <v>0</v>
      </c>
      <c r="O31" s="121">
        <f t="shared" si="9"/>
        <v>97490</v>
      </c>
    </row>
    <row r="32" spans="3:15" x14ac:dyDescent="0.35">
      <c r="C32" s="126" t="s">
        <v>35</v>
      </c>
      <c r="D32" s="126"/>
      <c r="E32" s="126"/>
      <c r="F32" s="127">
        <f t="shared" ref="F32:O32" si="10">F31+F25+F22+F19+F17+F11</f>
        <v>903085</v>
      </c>
      <c r="G32" s="127">
        <f t="shared" si="10"/>
        <v>18307</v>
      </c>
      <c r="H32" s="127">
        <f t="shared" si="10"/>
        <v>867218</v>
      </c>
      <c r="I32" s="127">
        <f t="shared" si="10"/>
        <v>331922</v>
      </c>
      <c r="J32" s="127">
        <f t="shared" si="10"/>
        <v>552856</v>
      </c>
      <c r="K32" s="127">
        <f t="shared" si="10"/>
        <v>0</v>
      </c>
      <c r="L32" s="127">
        <f t="shared" si="10"/>
        <v>3297</v>
      </c>
      <c r="M32" s="127">
        <f t="shared" si="10"/>
        <v>14638341</v>
      </c>
      <c r="N32" s="127">
        <f t="shared" si="10"/>
        <v>51169</v>
      </c>
      <c r="O32" s="127">
        <f t="shared" si="10"/>
        <v>612106</v>
      </c>
    </row>
    <row r="33" spans="3:15" x14ac:dyDescent="0.35">
      <c r="F33" s="128" t="s">
        <v>36</v>
      </c>
      <c r="G33" s="116">
        <f>O11+L11+J11-K11</f>
        <v>622729</v>
      </c>
      <c r="H33" s="252"/>
      <c r="I33" s="253"/>
      <c r="J33" s="129"/>
      <c r="K33" s="130"/>
      <c r="L33" s="130"/>
    </row>
    <row r="34" spans="3:15" x14ac:dyDescent="0.35">
      <c r="F34" s="131" t="s">
        <v>37</v>
      </c>
      <c r="G34" s="116">
        <f>O17+L17+J17-K17+O19+L19+J19-K19</f>
        <v>296826</v>
      </c>
      <c r="H34" s="132"/>
      <c r="I34" s="133" t="s">
        <v>89</v>
      </c>
      <c r="J34" s="133" t="s">
        <v>90</v>
      </c>
      <c r="K34" s="239" t="s">
        <v>88</v>
      </c>
      <c r="L34" s="238"/>
      <c r="M34" s="254" t="s">
        <v>87</v>
      </c>
      <c r="N34" s="255"/>
      <c r="O34" s="256"/>
    </row>
    <row r="35" spans="3:15" x14ac:dyDescent="0.35">
      <c r="C35" s="257" t="s">
        <v>68</v>
      </c>
      <c r="D35" s="258"/>
      <c r="F35" s="134" t="s">
        <v>38</v>
      </c>
      <c r="G35" s="116">
        <f>O22+L22+J22-K22</f>
        <v>0</v>
      </c>
      <c r="H35" s="132"/>
      <c r="I35" s="133"/>
      <c r="J35" s="135"/>
      <c r="K35" s="239"/>
      <c r="L35" s="238"/>
      <c r="M35" s="136"/>
      <c r="N35" s="137"/>
      <c r="O35" s="138"/>
    </row>
    <row r="36" spans="3:15" x14ac:dyDescent="0.35">
      <c r="C36" s="139"/>
      <c r="D36" s="139"/>
      <c r="F36" s="140" t="s">
        <v>30</v>
      </c>
      <c r="G36" s="116">
        <f>O25+L25+J25-K25</f>
        <v>0</v>
      </c>
      <c r="H36" s="132"/>
      <c r="I36" s="141"/>
      <c r="J36" s="135"/>
      <c r="K36" s="239"/>
      <c r="L36" s="238"/>
      <c r="M36" s="136"/>
      <c r="N36" s="137"/>
      <c r="O36" s="138"/>
    </row>
    <row r="37" spans="3:15" x14ac:dyDescent="0.35">
      <c r="C37" s="139"/>
      <c r="D37" s="139"/>
      <c r="F37" s="128" t="s">
        <v>39</v>
      </c>
      <c r="G37" s="116">
        <f>O31+L31+J31-K31</f>
        <v>248704</v>
      </c>
      <c r="H37" s="132"/>
      <c r="I37" s="141"/>
      <c r="J37" s="135"/>
      <c r="K37" s="239"/>
      <c r="L37" s="238"/>
      <c r="M37" s="136"/>
      <c r="N37" s="137"/>
      <c r="O37" s="138"/>
    </row>
    <row r="38" spans="3:15" x14ac:dyDescent="0.35">
      <c r="C38" s="139"/>
      <c r="D38" s="139"/>
      <c r="F38" s="142" t="s">
        <v>40</v>
      </c>
      <c r="G38" s="143">
        <f>SUM(G33:G37)</f>
        <v>1168259</v>
      </c>
      <c r="I38" s="139"/>
      <c r="J38" s="135"/>
      <c r="K38" s="239"/>
      <c r="L38" s="238"/>
      <c r="M38" s="136"/>
      <c r="N38" s="137"/>
      <c r="O38" s="138"/>
    </row>
    <row r="39" spans="3:15" x14ac:dyDescent="0.35">
      <c r="C39" s="139"/>
      <c r="D39" s="139"/>
      <c r="F39" s="144"/>
      <c r="G39" s="184"/>
      <c r="I39" s="139"/>
      <c r="J39" s="135"/>
      <c r="K39" s="239"/>
      <c r="L39" s="238"/>
      <c r="M39" s="136"/>
      <c r="N39" s="137"/>
      <c r="O39" s="138"/>
    </row>
    <row r="40" spans="3:15" x14ac:dyDescent="0.35">
      <c r="C40" s="139"/>
      <c r="D40" s="139"/>
      <c r="F40" s="144"/>
      <c r="G40" s="184"/>
      <c r="I40" s="139"/>
      <c r="J40" s="135"/>
      <c r="K40" s="137"/>
      <c r="L40" s="137"/>
      <c r="M40" s="136"/>
      <c r="N40" s="137"/>
      <c r="O40" s="138"/>
    </row>
    <row r="41" spans="3:15" x14ac:dyDescent="0.35">
      <c r="C41" s="139"/>
      <c r="D41" s="139"/>
      <c r="F41" s="144"/>
      <c r="G41" s="145"/>
      <c r="I41" s="139"/>
      <c r="J41" s="135"/>
      <c r="K41" s="137"/>
      <c r="L41" s="137"/>
      <c r="M41" s="136"/>
      <c r="N41" s="137"/>
      <c r="O41" s="138"/>
    </row>
    <row r="42" spans="3:15" x14ac:dyDescent="0.35">
      <c r="C42" s="139"/>
      <c r="D42" s="139"/>
      <c r="F42" s="144"/>
      <c r="G42" s="145"/>
      <c r="I42" s="139"/>
      <c r="J42" s="135"/>
      <c r="K42" s="137"/>
      <c r="L42" s="137"/>
      <c r="M42" s="136"/>
      <c r="N42" s="137"/>
      <c r="O42" s="138"/>
    </row>
    <row r="43" spans="3:15" x14ac:dyDescent="0.35">
      <c r="C43" s="139"/>
      <c r="D43" s="139"/>
      <c r="F43" s="144"/>
      <c r="G43" s="145"/>
      <c r="I43" s="139"/>
      <c r="J43" s="135"/>
      <c r="K43" s="237"/>
      <c r="L43" s="238"/>
      <c r="M43" s="237"/>
      <c r="N43" s="239"/>
      <c r="O43" s="238"/>
    </row>
    <row r="44" spans="3:15" x14ac:dyDescent="0.35">
      <c r="C44" s="139"/>
      <c r="D44" s="139"/>
      <c r="F44" s="144"/>
      <c r="G44" s="145"/>
      <c r="I44" s="139"/>
      <c r="J44" s="133"/>
      <c r="K44" s="237"/>
      <c r="L44" s="238"/>
      <c r="M44" s="237"/>
      <c r="N44" s="239"/>
      <c r="O44" s="238"/>
    </row>
    <row r="45" spans="3:15" x14ac:dyDescent="0.35">
      <c r="C45" s="139"/>
      <c r="D45" s="139"/>
      <c r="F45" s="144"/>
      <c r="G45" s="145"/>
      <c r="I45" s="139"/>
      <c r="J45" s="133"/>
      <c r="K45" s="237"/>
      <c r="L45" s="238"/>
      <c r="M45" s="237"/>
      <c r="N45" s="239"/>
      <c r="O45" s="238"/>
    </row>
    <row r="46" spans="3:15" x14ac:dyDescent="0.35">
      <c r="C46" s="139"/>
      <c r="D46" s="139"/>
      <c r="F46" s="144"/>
      <c r="G46" s="145"/>
      <c r="I46" s="139"/>
      <c r="J46" s="133"/>
      <c r="K46" s="237"/>
      <c r="L46" s="238"/>
      <c r="M46" s="237"/>
      <c r="N46" s="239"/>
      <c r="O46" s="238"/>
    </row>
    <row r="47" spans="3:15" x14ac:dyDescent="0.35">
      <c r="C47" s="139"/>
      <c r="D47" s="139"/>
      <c r="F47" s="144"/>
      <c r="G47" s="145"/>
      <c r="I47" s="139"/>
      <c r="J47" s="133"/>
      <c r="K47" s="237"/>
      <c r="L47" s="238"/>
      <c r="M47" s="237"/>
      <c r="N47" s="239"/>
      <c r="O47" s="238"/>
    </row>
    <row r="48" spans="3:15" x14ac:dyDescent="0.35">
      <c r="H48" s="240" t="s">
        <v>41</v>
      </c>
      <c r="I48" s="240"/>
      <c r="J48" s="240"/>
      <c r="K48" s="241"/>
      <c r="L48" s="110"/>
      <c r="M48" s="146"/>
    </row>
    <row r="49" spans="3:14" x14ac:dyDescent="0.35">
      <c r="H49" s="147" t="s">
        <v>42</v>
      </c>
      <c r="I49" s="147" t="s">
        <v>43</v>
      </c>
      <c r="J49" s="147" t="s">
        <v>44</v>
      </c>
      <c r="K49" s="241"/>
      <c r="L49" s="146"/>
    </row>
    <row r="50" spans="3:14" x14ac:dyDescent="0.35">
      <c r="F50" s="148"/>
      <c r="H50" s="104" t="s">
        <v>14</v>
      </c>
      <c r="I50" s="104" t="s">
        <v>15</v>
      </c>
      <c r="J50" s="148">
        <f t="shared" ref="J50:J55" si="11">M5-O5-N5-L5+I5</f>
        <v>336982</v>
      </c>
      <c r="K50" s="149">
        <v>415800</v>
      </c>
      <c r="L50" s="150">
        <f>J50-K50</f>
        <v>-78818</v>
      </c>
      <c r="M50" s="148"/>
    </row>
    <row r="51" spans="3:14" x14ac:dyDescent="0.35">
      <c r="C51" s="242">
        <v>45931</v>
      </c>
      <c r="D51" s="242"/>
      <c r="E51" s="242"/>
      <c r="H51" s="104" t="s">
        <v>14</v>
      </c>
      <c r="I51" s="104" t="s">
        <v>17</v>
      </c>
      <c r="J51" s="148">
        <f t="shared" si="11"/>
        <v>3394573</v>
      </c>
      <c r="K51" s="149">
        <v>3257215</v>
      </c>
      <c r="L51" s="150">
        <f t="shared" ref="L51:L62" si="12">J51-K51</f>
        <v>137358</v>
      </c>
      <c r="M51" s="148"/>
    </row>
    <row r="52" spans="3:14" x14ac:dyDescent="0.35">
      <c r="C52" s="243" t="s">
        <v>63</v>
      </c>
      <c r="D52" s="243"/>
      <c r="E52" s="243"/>
      <c r="H52" s="104" t="s">
        <v>14</v>
      </c>
      <c r="I52" s="104" t="s">
        <v>18</v>
      </c>
      <c r="J52" s="148">
        <f t="shared" si="11"/>
        <v>1520182</v>
      </c>
      <c r="K52" s="149">
        <v>1757091</v>
      </c>
      <c r="L52" s="150">
        <f t="shared" si="12"/>
        <v>-236909</v>
      </c>
      <c r="M52" s="148"/>
    </row>
    <row r="53" spans="3:14" x14ac:dyDescent="0.35">
      <c r="C53" s="139" t="s">
        <v>64</v>
      </c>
      <c r="D53" s="225">
        <f>'Opening Balance FEB 2026'!J4</f>
        <v>1308640</v>
      </c>
      <c r="E53" s="226"/>
      <c r="H53" s="104" t="s">
        <v>14</v>
      </c>
      <c r="I53" s="104" t="s">
        <v>19</v>
      </c>
      <c r="J53" s="148">
        <f t="shared" si="11"/>
        <v>1258241</v>
      </c>
      <c r="K53" s="149">
        <v>1296000</v>
      </c>
      <c r="L53" s="150">
        <f t="shared" si="12"/>
        <v>-37759</v>
      </c>
      <c r="M53" s="148"/>
    </row>
    <row r="54" spans="3:14" x14ac:dyDescent="0.35">
      <c r="C54" s="139" t="s">
        <v>65</v>
      </c>
      <c r="D54" s="225">
        <f>G38</f>
        <v>1168259</v>
      </c>
      <c r="E54" s="226"/>
      <c r="H54" s="104" t="s">
        <v>14</v>
      </c>
      <c r="I54" s="104" t="s">
        <v>20</v>
      </c>
      <c r="J54" s="148">
        <f t="shared" si="11"/>
        <v>1172871</v>
      </c>
      <c r="K54" s="149">
        <v>1325626</v>
      </c>
      <c r="L54" s="150">
        <f t="shared" si="12"/>
        <v>-152755</v>
      </c>
      <c r="M54" s="148"/>
    </row>
    <row r="55" spans="3:14" x14ac:dyDescent="0.35">
      <c r="C55" s="151" t="s">
        <v>45</v>
      </c>
      <c r="D55" s="244">
        <f>D53+D54</f>
        <v>2476899</v>
      </c>
      <c r="E55" s="245"/>
      <c r="H55" s="104" t="s">
        <v>14</v>
      </c>
      <c r="I55" s="104" t="s">
        <v>21</v>
      </c>
      <c r="J55" s="148">
        <f t="shared" si="11"/>
        <v>609156</v>
      </c>
      <c r="K55" s="149">
        <v>691628</v>
      </c>
      <c r="L55" s="150">
        <f t="shared" si="12"/>
        <v>-82472</v>
      </c>
    </row>
    <row r="56" spans="3:14" x14ac:dyDescent="0.35">
      <c r="C56" s="139" t="s">
        <v>66</v>
      </c>
      <c r="D56" s="235">
        <v>0</v>
      </c>
      <c r="E56" s="236"/>
      <c r="H56" s="152" t="s">
        <v>45</v>
      </c>
      <c r="I56" s="152"/>
      <c r="J56" s="153">
        <f>SUM(J50:J55)</f>
        <v>8292005</v>
      </c>
      <c r="K56" s="154">
        <v>8291973</v>
      </c>
      <c r="L56" s="150">
        <f t="shared" si="12"/>
        <v>32</v>
      </c>
    </row>
    <row r="57" spans="3:14" x14ac:dyDescent="0.35">
      <c r="C57" s="139" t="s">
        <v>78</v>
      </c>
      <c r="D57" s="235">
        <v>0</v>
      </c>
      <c r="E57" s="236"/>
      <c r="H57" s="152"/>
      <c r="I57" s="152"/>
      <c r="J57" s="153"/>
      <c r="K57" s="155"/>
      <c r="L57" s="150"/>
    </row>
    <row r="58" spans="3:14" x14ac:dyDescent="0.35">
      <c r="C58" s="139" t="s">
        <v>75</v>
      </c>
      <c r="D58" s="235">
        <v>10000</v>
      </c>
      <c r="E58" s="236"/>
      <c r="H58" s="147" t="s">
        <v>42</v>
      </c>
      <c r="I58" s="147" t="s">
        <v>43</v>
      </c>
      <c r="J58" s="147" t="s">
        <v>44</v>
      </c>
      <c r="K58" s="146"/>
      <c r="L58" s="150"/>
    </row>
    <row r="59" spans="3:14" x14ac:dyDescent="0.35">
      <c r="C59" s="156" t="s">
        <v>83</v>
      </c>
      <c r="D59" s="227">
        <f>SUM(D56:E58)</f>
        <v>10000</v>
      </c>
      <c r="E59" s="228"/>
      <c r="H59" s="104" t="s">
        <v>46</v>
      </c>
      <c r="I59" s="104" t="s">
        <v>48</v>
      </c>
      <c r="J59" s="148">
        <f>M12-O12-N12-L12+I12</f>
        <v>317959</v>
      </c>
      <c r="K59" s="149">
        <v>317959</v>
      </c>
      <c r="L59" s="150">
        <f t="shared" si="12"/>
        <v>0</v>
      </c>
    </row>
    <row r="60" spans="3:14" x14ac:dyDescent="0.35">
      <c r="C60" s="157" t="s">
        <v>67</v>
      </c>
      <c r="D60" s="229">
        <f>D55-D56-D58-D57</f>
        <v>2466899</v>
      </c>
      <c r="E60" s="230"/>
      <c r="H60" s="104" t="s">
        <v>46</v>
      </c>
      <c r="I60" s="104" t="s">
        <v>47</v>
      </c>
      <c r="J60" s="148">
        <f>M13-O13-N13-L13+I13</f>
        <v>1750579</v>
      </c>
      <c r="K60" s="149">
        <v>1750579</v>
      </c>
      <c r="L60" s="150">
        <f t="shared" si="12"/>
        <v>0</v>
      </c>
      <c r="N60" s="148"/>
    </row>
    <row r="61" spans="3:14" x14ac:dyDescent="0.35">
      <c r="C61" s="158" t="s">
        <v>68</v>
      </c>
      <c r="D61" s="231"/>
      <c r="E61" s="232"/>
      <c r="H61" s="104" t="s">
        <v>46</v>
      </c>
      <c r="I61" s="104" t="s">
        <v>15</v>
      </c>
      <c r="J61" s="148">
        <f>M14-O14-N14-L14+I14</f>
        <v>308215</v>
      </c>
      <c r="K61" s="149">
        <v>308215</v>
      </c>
      <c r="L61" s="150">
        <f t="shared" si="12"/>
        <v>0</v>
      </c>
      <c r="M61" s="148"/>
      <c r="N61" s="148"/>
    </row>
    <row r="62" spans="3:14" x14ac:dyDescent="0.35">
      <c r="C62" s="139" t="s">
        <v>14</v>
      </c>
      <c r="D62" s="225">
        <v>0</v>
      </c>
      <c r="E62" s="226"/>
      <c r="H62" s="104" t="s">
        <v>46</v>
      </c>
      <c r="I62" s="104" t="s">
        <v>20</v>
      </c>
      <c r="J62" s="148">
        <f>M15-O15</f>
        <v>0</v>
      </c>
      <c r="K62" s="149">
        <v>0</v>
      </c>
      <c r="L62" s="150">
        <f t="shared" si="12"/>
        <v>0</v>
      </c>
    </row>
    <row r="63" spans="3:14" x14ac:dyDescent="0.35">
      <c r="C63" s="139" t="s">
        <v>72</v>
      </c>
      <c r="D63" s="225">
        <v>0</v>
      </c>
      <c r="E63" s="226"/>
      <c r="H63" s="104" t="s">
        <v>27</v>
      </c>
      <c r="I63" s="104" t="s">
        <v>47</v>
      </c>
      <c r="J63" s="148">
        <f>M18-O18-N18-L18+I18</f>
        <v>51257</v>
      </c>
      <c r="K63" s="149">
        <v>51257</v>
      </c>
      <c r="L63" s="150">
        <f>J63-K63</f>
        <v>0</v>
      </c>
    </row>
    <row r="64" spans="3:14" x14ac:dyDescent="0.35">
      <c r="C64" s="139" t="s">
        <v>69</v>
      </c>
      <c r="D64" s="225">
        <v>0</v>
      </c>
      <c r="E64" s="226"/>
      <c r="H64" s="152" t="s">
        <v>45</v>
      </c>
      <c r="I64" s="152"/>
      <c r="J64" s="153">
        <f>SUM(J59:J63)</f>
        <v>2428010</v>
      </c>
      <c r="K64" s="149">
        <f>SUM(K59:K63)</f>
        <v>2428010</v>
      </c>
      <c r="L64" s="150">
        <f>J64-K64</f>
        <v>0</v>
      </c>
    </row>
    <row r="65" spans="3:14" x14ac:dyDescent="0.35">
      <c r="C65" s="139" t="s">
        <v>70</v>
      </c>
      <c r="D65" s="225">
        <v>0</v>
      </c>
      <c r="E65" s="226"/>
      <c r="F65" s="148"/>
      <c r="H65" s="147" t="s">
        <v>42</v>
      </c>
      <c r="I65" s="147" t="s">
        <v>43</v>
      </c>
      <c r="J65" s="147" t="s">
        <v>44</v>
      </c>
    </row>
    <row r="66" spans="3:14" x14ac:dyDescent="0.35">
      <c r="C66" s="139" t="s">
        <v>71</v>
      </c>
      <c r="D66" s="225">
        <v>0</v>
      </c>
      <c r="E66" s="226"/>
      <c r="F66" s="159"/>
      <c r="G66" s="160"/>
      <c r="H66" s="104" t="s">
        <v>49</v>
      </c>
      <c r="I66" s="104" t="s">
        <v>51</v>
      </c>
      <c r="J66" s="148">
        <f>M26-O26-N26-L26+I26</f>
        <v>1697557</v>
      </c>
      <c r="K66" s="149">
        <v>1671613</v>
      </c>
      <c r="L66" s="150">
        <f t="shared" ref="L66:L72" si="13">J66-K66</f>
        <v>25944</v>
      </c>
      <c r="N66" s="148"/>
    </row>
    <row r="67" spans="3:14" x14ac:dyDescent="0.35">
      <c r="C67" s="157" t="s">
        <v>73</v>
      </c>
      <c r="D67" s="229">
        <f>SUM(D62:D66)</f>
        <v>0</v>
      </c>
      <c r="E67" s="230"/>
      <c r="F67" s="148"/>
      <c r="H67" s="104" t="s">
        <v>49</v>
      </c>
      <c r="I67" s="104" t="s">
        <v>18</v>
      </c>
      <c r="J67" s="148">
        <f>M27-O27-N27-L27+I27</f>
        <v>174473</v>
      </c>
      <c r="K67" s="149">
        <v>174473</v>
      </c>
      <c r="L67" s="150">
        <f t="shared" si="13"/>
        <v>0</v>
      </c>
    </row>
    <row r="68" spans="3:14" x14ac:dyDescent="0.35">
      <c r="C68" s="161" t="s">
        <v>74</v>
      </c>
      <c r="D68" s="233">
        <f>D60-D67</f>
        <v>2466899</v>
      </c>
      <c r="E68" s="234"/>
      <c r="F68" s="148"/>
      <c r="H68" s="104" t="s">
        <v>49</v>
      </c>
      <c r="I68" s="104" t="s">
        <v>15</v>
      </c>
      <c r="J68" s="148">
        <f>M28-O28-N28-L28+I28</f>
        <v>35126</v>
      </c>
      <c r="K68" s="149">
        <v>35126</v>
      </c>
      <c r="L68" s="150">
        <f t="shared" si="13"/>
        <v>0</v>
      </c>
    </row>
    <row r="69" spans="3:14" x14ac:dyDescent="0.35">
      <c r="C69" s="139"/>
      <c r="D69" s="225">
        <v>3102990</v>
      </c>
      <c r="E69" s="226"/>
      <c r="H69" s="104" t="s">
        <v>49</v>
      </c>
      <c r="I69" s="104" t="s">
        <v>50</v>
      </c>
      <c r="J69" s="148">
        <f>M29-O29-N29-L29+I29</f>
        <v>1393001</v>
      </c>
      <c r="K69" s="162">
        <v>1382171</v>
      </c>
      <c r="L69" s="150">
        <f t="shared" si="13"/>
        <v>10830</v>
      </c>
    </row>
    <row r="70" spans="3:14" x14ac:dyDescent="0.35">
      <c r="C70" s="139"/>
      <c r="D70" s="225">
        <f>D68-D69</f>
        <v>-636091</v>
      </c>
      <c r="E70" s="226"/>
      <c r="H70" s="104" t="s">
        <v>49</v>
      </c>
      <c r="I70" s="104" t="s">
        <v>20</v>
      </c>
      <c r="J70" s="148">
        <f>'Opening Balance FEB 2026'!F24</f>
        <v>66046</v>
      </c>
      <c r="K70" s="149">
        <v>66046</v>
      </c>
      <c r="L70" s="150">
        <f t="shared" si="13"/>
        <v>0</v>
      </c>
    </row>
    <row r="71" spans="3:14" x14ac:dyDescent="0.35">
      <c r="H71" s="104" t="s">
        <v>49</v>
      </c>
      <c r="I71" s="104" t="s">
        <v>47</v>
      </c>
      <c r="J71" s="148">
        <f>'Opening Balance FEB 2026'!F25</f>
        <v>23570</v>
      </c>
      <c r="K71" s="149">
        <v>23570</v>
      </c>
      <c r="L71" s="150">
        <f t="shared" si="13"/>
        <v>0</v>
      </c>
    </row>
    <row r="72" spans="3:14" x14ac:dyDescent="0.35">
      <c r="H72" s="152" t="s">
        <v>45</v>
      </c>
      <c r="I72" s="152"/>
      <c r="J72" s="153">
        <f>SUM(J66:J71)</f>
        <v>3389773</v>
      </c>
      <c r="K72" s="149">
        <v>3384773</v>
      </c>
      <c r="L72" s="150">
        <f t="shared" si="13"/>
        <v>5000</v>
      </c>
      <c r="N72" s="148"/>
    </row>
    <row r="73" spans="3:14" x14ac:dyDescent="0.35">
      <c r="H73" s="147" t="s">
        <v>42</v>
      </c>
      <c r="I73" s="147" t="s">
        <v>43</v>
      </c>
      <c r="J73" s="147" t="s">
        <v>44</v>
      </c>
    </row>
    <row r="74" spans="3:14" x14ac:dyDescent="0.35">
      <c r="H74" s="104" t="s">
        <v>52</v>
      </c>
      <c r="I74" s="104" t="s">
        <v>53</v>
      </c>
      <c r="J74" s="148">
        <f>M20-O20-N20-L20+I20-G73</f>
        <v>33969</v>
      </c>
      <c r="K74" s="148">
        <v>33969</v>
      </c>
      <c r="L74" s="150">
        <f>J74-K74</f>
        <v>0</v>
      </c>
    </row>
    <row r="75" spans="3:14" x14ac:dyDescent="0.35">
      <c r="H75" s="104" t="s">
        <v>52</v>
      </c>
      <c r="I75" s="104" t="s">
        <v>47</v>
      </c>
      <c r="J75" s="148">
        <f>M21-O21-N21-L21+I21</f>
        <v>142892</v>
      </c>
      <c r="K75" s="162">
        <v>151366</v>
      </c>
      <c r="L75" s="150">
        <f>J75-K75</f>
        <v>-8474</v>
      </c>
    </row>
    <row r="76" spans="3:14" x14ac:dyDescent="0.35">
      <c r="H76" s="152" t="s">
        <v>45</v>
      </c>
      <c r="I76" s="152"/>
      <c r="J76" s="153">
        <f>SUM(J74:J75)</f>
        <v>176861</v>
      </c>
      <c r="K76" s="148">
        <v>160846</v>
      </c>
      <c r="L76" s="150">
        <f>J76-K76</f>
        <v>16015</v>
      </c>
    </row>
    <row r="77" spans="3:14" x14ac:dyDescent="0.35">
      <c r="G77" s="104">
        <v>0</v>
      </c>
      <c r="H77" s="147" t="s">
        <v>42</v>
      </c>
      <c r="I77" s="147" t="s">
        <v>43</v>
      </c>
      <c r="J77" s="147" t="s">
        <v>44</v>
      </c>
      <c r="K77" s="149">
        <v>0</v>
      </c>
      <c r="L77" s="150"/>
    </row>
    <row r="78" spans="3:14" x14ac:dyDescent="0.35">
      <c r="H78" s="104" t="s">
        <v>54</v>
      </c>
      <c r="I78" s="104" t="s">
        <v>53</v>
      </c>
      <c r="J78" s="148">
        <f>M23-O23-N23-L23+I23-G77</f>
        <v>89658</v>
      </c>
      <c r="K78" s="149">
        <v>89658</v>
      </c>
      <c r="L78" s="150">
        <f>J78-K78</f>
        <v>0</v>
      </c>
    </row>
    <row r="79" spans="3:14" x14ac:dyDescent="0.35">
      <c r="H79" s="104" t="s">
        <v>54</v>
      </c>
      <c r="I79" s="104" t="s">
        <v>18</v>
      </c>
      <c r="J79" s="148">
        <f>M24-O24-N24-L24+I24</f>
        <v>17000</v>
      </c>
      <c r="K79" s="149">
        <v>67000</v>
      </c>
      <c r="L79" s="150">
        <f>J79-K79</f>
        <v>-50000</v>
      </c>
    </row>
    <row r="80" spans="3:14" x14ac:dyDescent="0.35">
      <c r="H80" s="152" t="s">
        <v>45</v>
      </c>
      <c r="I80" s="152"/>
      <c r="J80" s="153">
        <f>SUM(J78:J79)</f>
        <v>106658</v>
      </c>
      <c r="K80" s="148">
        <f>SUM(K77:K79)</f>
        <v>156658</v>
      </c>
      <c r="L80" s="150">
        <f>J80-K80</f>
        <v>-50000</v>
      </c>
    </row>
    <row r="81" spans="4:12" x14ac:dyDescent="0.35">
      <c r="H81" s="147" t="s">
        <v>42</v>
      </c>
      <c r="I81" s="147" t="s">
        <v>43</v>
      </c>
      <c r="J81" s="147" t="s">
        <v>44</v>
      </c>
      <c r="K81" s="149">
        <v>0</v>
      </c>
      <c r="L81" s="150"/>
    </row>
    <row r="82" spans="4:12" x14ac:dyDescent="0.35">
      <c r="H82" s="104" t="s">
        <v>55</v>
      </c>
      <c r="I82" s="104" t="s">
        <v>56</v>
      </c>
      <c r="J82" s="148">
        <f>'Opening Balance FEB 2026'!F36</f>
        <v>103541</v>
      </c>
      <c r="K82" s="149">
        <v>103541</v>
      </c>
      <c r="L82" s="150">
        <f>J82-K82</f>
        <v>0</v>
      </c>
    </row>
    <row r="83" spans="4:12" x14ac:dyDescent="0.35">
      <c r="H83" s="104" t="s">
        <v>55</v>
      </c>
      <c r="I83" s="104" t="s">
        <v>47</v>
      </c>
      <c r="J83" s="148">
        <f>'Opening Balance FEB 2026'!F37</f>
        <v>6013</v>
      </c>
      <c r="K83" s="149">
        <v>6013</v>
      </c>
      <c r="L83" s="150">
        <f>J83-K83</f>
        <v>0</v>
      </c>
    </row>
    <row r="84" spans="4:12" x14ac:dyDescent="0.35">
      <c r="H84" s="152" t="s">
        <v>45</v>
      </c>
      <c r="I84" s="152"/>
      <c r="J84" s="153">
        <v>109554</v>
      </c>
      <c r="K84" s="148">
        <f>SUM(K81:K83)</f>
        <v>109554</v>
      </c>
      <c r="L84" s="150">
        <f>J84-K84</f>
        <v>0</v>
      </c>
    </row>
    <row r="85" spans="4:12" x14ac:dyDescent="0.35">
      <c r="H85" s="147" t="s">
        <v>42</v>
      </c>
      <c r="I85" s="147" t="s">
        <v>43</v>
      </c>
      <c r="J85" s="147" t="s">
        <v>44</v>
      </c>
      <c r="K85" s="149">
        <v>0</v>
      </c>
      <c r="L85" s="150"/>
    </row>
    <row r="86" spans="4:12" x14ac:dyDescent="0.35">
      <c r="H86" s="104" t="s">
        <v>57</v>
      </c>
      <c r="I86" s="104" t="s">
        <v>47</v>
      </c>
      <c r="J86" s="148">
        <f>'Opening Balance FEB 2026'!F40</f>
        <v>16440</v>
      </c>
      <c r="K86" s="149">
        <v>16440</v>
      </c>
      <c r="L86" s="150">
        <f>J86-K86</f>
        <v>0</v>
      </c>
    </row>
    <row r="87" spans="4:12" x14ac:dyDescent="0.35">
      <c r="H87" s="152" t="s">
        <v>45</v>
      </c>
      <c r="I87" s="152"/>
      <c r="J87" s="153">
        <v>16440</v>
      </c>
      <c r="K87" s="149">
        <f>SUM(K85:K86)</f>
        <v>16440</v>
      </c>
    </row>
    <row r="88" spans="4:12" x14ac:dyDescent="0.35">
      <c r="J88" s="148"/>
    </row>
    <row r="89" spans="4:12" x14ac:dyDescent="0.35">
      <c r="H89" s="163" t="s">
        <v>58</v>
      </c>
      <c r="I89" s="163"/>
      <c r="J89" s="164">
        <f>J87+J84+J80+J76+J72+J64+J56</f>
        <v>14519301</v>
      </c>
    </row>
    <row r="91" spans="4:12" x14ac:dyDescent="0.35">
      <c r="D91" s="165" t="s">
        <v>82</v>
      </c>
      <c r="E91" s="165"/>
      <c r="F91" s="165"/>
      <c r="G91" s="165"/>
      <c r="H91" s="165"/>
    </row>
    <row r="92" spans="4:12" x14ac:dyDescent="0.35">
      <c r="D92" s="158" t="s">
        <v>42</v>
      </c>
      <c r="E92" s="158" t="s">
        <v>43</v>
      </c>
      <c r="F92" s="158" t="s">
        <v>79</v>
      </c>
      <c r="G92" s="158" t="s">
        <v>80</v>
      </c>
      <c r="H92" s="158" t="s">
        <v>81</v>
      </c>
    </row>
    <row r="93" spans="4:12" x14ac:dyDescent="0.35">
      <c r="D93" s="139" t="s">
        <v>14</v>
      </c>
      <c r="E93" s="139" t="s">
        <v>15</v>
      </c>
      <c r="F93" s="166">
        <f>H5</f>
        <v>203425</v>
      </c>
      <c r="G93" s="166">
        <f>O5</f>
        <v>20266</v>
      </c>
      <c r="H93" s="166">
        <f>I5</f>
        <v>35541</v>
      </c>
    </row>
    <row r="94" spans="4:12" x14ac:dyDescent="0.35">
      <c r="D94" s="139" t="s">
        <v>14</v>
      </c>
      <c r="E94" s="139" t="s">
        <v>17</v>
      </c>
      <c r="F94" s="166">
        <f>H6</f>
        <v>0</v>
      </c>
      <c r="G94" s="166">
        <f>O6</f>
        <v>0</v>
      </c>
      <c r="H94" s="166">
        <f>I6</f>
        <v>0</v>
      </c>
    </row>
    <row r="95" spans="4:12" x14ac:dyDescent="0.35">
      <c r="D95" s="139" t="s">
        <v>14</v>
      </c>
      <c r="E95" s="139" t="s">
        <v>18</v>
      </c>
      <c r="F95" s="166">
        <f>H7</f>
        <v>118483</v>
      </c>
      <c r="G95" s="166">
        <f>O7</f>
        <v>103383</v>
      </c>
      <c r="H95" s="166">
        <f>I7</f>
        <v>99006</v>
      </c>
    </row>
    <row r="96" spans="4:12" x14ac:dyDescent="0.35">
      <c r="D96" s="139" t="s">
        <v>14</v>
      </c>
      <c r="E96" s="139" t="s">
        <v>19</v>
      </c>
      <c r="F96" s="166">
        <f>H8</f>
        <v>65248</v>
      </c>
      <c r="G96" s="166">
        <f>O8</f>
        <v>112127</v>
      </c>
      <c r="H96" s="166">
        <f>I8</f>
        <v>42780</v>
      </c>
    </row>
    <row r="97" spans="4:8" x14ac:dyDescent="0.35">
      <c r="D97" s="139" t="s">
        <v>14</v>
      </c>
      <c r="E97" s="139" t="s">
        <v>20</v>
      </c>
      <c r="F97" s="166">
        <f>H9</f>
        <v>82344</v>
      </c>
      <c r="G97" s="166">
        <f>O9</f>
        <v>55286</v>
      </c>
      <c r="H97" s="166">
        <f>I9</f>
        <v>33369</v>
      </c>
    </row>
    <row r="98" spans="4:8" x14ac:dyDescent="0.35">
      <c r="D98" s="139" t="s">
        <v>14</v>
      </c>
      <c r="E98" s="139" t="s">
        <v>21</v>
      </c>
      <c r="F98" s="166" t="e">
        <f>#REF!+#REF!</f>
        <v>#REF!</v>
      </c>
      <c r="G98" s="166" t="e">
        <f>#REF!</f>
        <v>#REF!</v>
      </c>
      <c r="H98" s="166" t="e">
        <f>#REF!</f>
        <v>#REF!</v>
      </c>
    </row>
    <row r="99" spans="4:8" x14ac:dyDescent="0.35">
      <c r="D99" s="167" t="s">
        <v>45</v>
      </c>
      <c r="E99" s="167"/>
      <c r="F99" s="168" t="e">
        <f>SUM(F93:F98)</f>
        <v>#REF!</v>
      </c>
      <c r="G99" s="168" t="e">
        <f t="shared" ref="G99" si="14">SUM(G93:G98)</f>
        <v>#REF!</v>
      </c>
      <c r="H99" s="168" t="e">
        <f>SUM(H93:H98)</f>
        <v>#REF!</v>
      </c>
    </row>
    <row r="100" spans="4:8" x14ac:dyDescent="0.35">
      <c r="D100" s="158" t="s">
        <v>42</v>
      </c>
      <c r="E100" s="158" t="s">
        <v>43</v>
      </c>
      <c r="F100" s="169" t="s">
        <v>79</v>
      </c>
      <c r="G100" s="169" t="s">
        <v>80</v>
      </c>
      <c r="H100" s="169" t="s">
        <v>81</v>
      </c>
    </row>
    <row r="101" spans="4:8" x14ac:dyDescent="0.35">
      <c r="D101" s="139" t="s">
        <v>46</v>
      </c>
      <c r="E101" s="139" t="s">
        <v>48</v>
      </c>
      <c r="F101" s="166">
        <f>H12</f>
        <v>43161</v>
      </c>
      <c r="G101" s="166">
        <f>O12</f>
        <v>68984</v>
      </c>
      <c r="H101" s="166">
        <f>I12</f>
        <v>14817</v>
      </c>
    </row>
    <row r="102" spans="4:8" x14ac:dyDescent="0.35">
      <c r="D102" s="139" t="s">
        <v>46</v>
      </c>
      <c r="E102" s="139" t="s">
        <v>47</v>
      </c>
      <c r="F102" s="166">
        <f>H13</f>
        <v>83885</v>
      </c>
      <c r="G102" s="166">
        <f>O13</f>
        <v>44613</v>
      </c>
      <c r="H102" s="166">
        <f>I13</f>
        <v>0</v>
      </c>
    </row>
    <row r="103" spans="4:8" x14ac:dyDescent="0.35">
      <c r="D103" s="139" t="s">
        <v>27</v>
      </c>
      <c r="E103" s="139" t="s">
        <v>47</v>
      </c>
      <c r="F103" s="166">
        <v>0</v>
      </c>
      <c r="G103" s="166">
        <v>0</v>
      </c>
      <c r="H103" s="166">
        <v>0</v>
      </c>
    </row>
    <row r="104" spans="4:8" x14ac:dyDescent="0.35">
      <c r="D104" s="167" t="s">
        <v>45</v>
      </c>
      <c r="E104" s="167"/>
      <c r="F104" s="168">
        <f>SUM(F101:F103)</f>
        <v>127046</v>
      </c>
      <c r="G104" s="168">
        <f>SUM(G101:G103)</f>
        <v>113597</v>
      </c>
      <c r="H104" s="168">
        <f>SUM(H101:H103)</f>
        <v>14817</v>
      </c>
    </row>
    <row r="105" spans="4:8" x14ac:dyDescent="0.35">
      <c r="D105" s="158" t="s">
        <v>42</v>
      </c>
      <c r="E105" s="158" t="s">
        <v>43</v>
      </c>
      <c r="F105" s="169" t="s">
        <v>79</v>
      </c>
      <c r="G105" s="169" t="s">
        <v>80</v>
      </c>
      <c r="H105" s="169" t="s">
        <v>81</v>
      </c>
    </row>
    <row r="106" spans="4:8" x14ac:dyDescent="0.35">
      <c r="D106" s="139" t="s">
        <v>49</v>
      </c>
      <c r="E106" s="139" t="s">
        <v>51</v>
      </c>
      <c r="F106" s="166" t="e">
        <f>#REF!</f>
        <v>#REF!</v>
      </c>
      <c r="G106" s="166" t="e">
        <f>#REF!</f>
        <v>#REF!</v>
      </c>
      <c r="H106" s="166" t="e">
        <f>#REF!</f>
        <v>#REF!</v>
      </c>
    </row>
    <row r="107" spans="4:8" x14ac:dyDescent="0.35">
      <c r="D107" s="139" t="s">
        <v>49</v>
      </c>
      <c r="E107" s="139" t="s">
        <v>18</v>
      </c>
      <c r="F107" s="166">
        <f>H27</f>
        <v>0</v>
      </c>
      <c r="G107" s="166">
        <f>O27</f>
        <v>0</v>
      </c>
      <c r="H107" s="166">
        <v>0</v>
      </c>
    </row>
    <row r="108" spans="4:8" x14ac:dyDescent="0.35">
      <c r="D108" s="139" t="s">
        <v>49</v>
      </c>
      <c r="E108" s="139" t="s">
        <v>50</v>
      </c>
      <c r="F108" s="166" t="e">
        <f>#REF!+#REF!</f>
        <v>#REF!</v>
      </c>
      <c r="G108" s="166" t="e">
        <f>#REF!</f>
        <v>#REF!</v>
      </c>
      <c r="H108" s="166" t="e">
        <f>#REF!+#REF!</f>
        <v>#REF!</v>
      </c>
    </row>
    <row r="109" spans="4:8" x14ac:dyDescent="0.35">
      <c r="D109" s="167" t="s">
        <v>45</v>
      </c>
      <c r="E109" s="167"/>
      <c r="F109" s="168" t="e">
        <f>SUM(F106:F108)</f>
        <v>#REF!</v>
      </c>
      <c r="G109" s="168" t="e">
        <f>SUM(G106:G108)</f>
        <v>#REF!</v>
      </c>
      <c r="H109" s="168" t="e">
        <f>SUM(H106:H108)</f>
        <v>#REF!</v>
      </c>
    </row>
    <row r="110" spans="4:8" x14ac:dyDescent="0.35">
      <c r="D110" s="158" t="s">
        <v>42</v>
      </c>
      <c r="E110" s="158" t="s">
        <v>43</v>
      </c>
      <c r="F110" s="169" t="s">
        <v>79</v>
      </c>
      <c r="G110" s="169" t="s">
        <v>80</v>
      </c>
      <c r="H110" s="169" t="s">
        <v>81</v>
      </c>
    </row>
    <row r="111" spans="4:8" x14ac:dyDescent="0.35">
      <c r="D111" s="139" t="s">
        <v>52</v>
      </c>
      <c r="E111" s="139" t="s">
        <v>53</v>
      </c>
      <c r="F111" s="166">
        <f>H20</f>
        <v>0</v>
      </c>
      <c r="G111" s="166">
        <f>O20</f>
        <v>0</v>
      </c>
      <c r="H111" s="166">
        <f>I20</f>
        <v>0</v>
      </c>
    </row>
    <row r="112" spans="4:8" x14ac:dyDescent="0.35">
      <c r="D112" s="167" t="s">
        <v>45</v>
      </c>
      <c r="E112" s="167"/>
      <c r="F112" s="168">
        <f>SUM(F111)</f>
        <v>0</v>
      </c>
      <c r="G112" s="168">
        <f t="shared" ref="G112" si="15">SUM(G111)</f>
        <v>0</v>
      </c>
      <c r="H112" s="168">
        <f>SUM(H111)</f>
        <v>0</v>
      </c>
    </row>
    <row r="113" spans="4:8" x14ac:dyDescent="0.35">
      <c r="D113" s="158" t="s">
        <v>42</v>
      </c>
      <c r="E113" s="158" t="s">
        <v>43</v>
      </c>
      <c r="F113" s="169" t="s">
        <v>79</v>
      </c>
      <c r="G113" s="169" t="s">
        <v>80</v>
      </c>
      <c r="H113" s="169" t="s">
        <v>81</v>
      </c>
    </row>
    <row r="114" spans="4:8" x14ac:dyDescent="0.35">
      <c r="D114" s="139" t="s">
        <v>54</v>
      </c>
      <c r="E114" s="139" t="s">
        <v>53</v>
      </c>
      <c r="F114" s="166">
        <f>H23</f>
        <v>0</v>
      </c>
      <c r="G114" s="166">
        <f>O23</f>
        <v>0</v>
      </c>
      <c r="H114" s="166">
        <f>I23</f>
        <v>0</v>
      </c>
    </row>
    <row r="115" spans="4:8" x14ac:dyDescent="0.35">
      <c r="D115" s="139" t="s">
        <v>54</v>
      </c>
      <c r="E115" s="139" t="s">
        <v>18</v>
      </c>
      <c r="F115" s="166">
        <f>H24</f>
        <v>0</v>
      </c>
      <c r="G115" s="166">
        <f>O24</f>
        <v>0</v>
      </c>
      <c r="H115" s="166">
        <f>I24</f>
        <v>0</v>
      </c>
    </row>
    <row r="116" spans="4:8" x14ac:dyDescent="0.35">
      <c r="D116" s="167" t="s">
        <v>45</v>
      </c>
      <c r="E116" s="167"/>
      <c r="F116" s="168">
        <f>SUM(F114:F115)</f>
        <v>0</v>
      </c>
      <c r="G116" s="168">
        <f t="shared" ref="G116" si="16">SUM(G114:G115)</f>
        <v>0</v>
      </c>
      <c r="H116" s="168">
        <f>SUM(H114:H115)</f>
        <v>0</v>
      </c>
    </row>
    <row r="117" spans="4:8" x14ac:dyDescent="0.35">
      <c r="D117" s="170"/>
      <c r="E117" s="170"/>
      <c r="F117" s="171" t="e">
        <f>F116+F112+F109+F104+F99</f>
        <v>#REF!</v>
      </c>
      <c r="G117" s="171" t="e">
        <f t="shared" ref="G117" si="17">G116+G112+G109+G104+G99</f>
        <v>#REF!</v>
      </c>
      <c r="H117" s="171" t="e">
        <f>H116+H112+H109+H104+H99</f>
        <v>#REF!</v>
      </c>
    </row>
  </sheetData>
  <mergeCells count="43">
    <mergeCell ref="M43:O43"/>
    <mergeCell ref="C2:O2"/>
    <mergeCell ref="C3:O3"/>
    <mergeCell ref="H33:I33"/>
    <mergeCell ref="K34:L34"/>
    <mergeCell ref="M34:O34"/>
    <mergeCell ref="C35:D35"/>
    <mergeCell ref="K35:L35"/>
    <mergeCell ref="K36:L36"/>
    <mergeCell ref="K37:L37"/>
    <mergeCell ref="K38:L38"/>
    <mergeCell ref="K39:L39"/>
    <mergeCell ref="K43:L43"/>
    <mergeCell ref="K44:L44"/>
    <mergeCell ref="M44:O44"/>
    <mergeCell ref="K45:L45"/>
    <mergeCell ref="M45:O45"/>
    <mergeCell ref="K46:L46"/>
    <mergeCell ref="M46:O46"/>
    <mergeCell ref="D58:E58"/>
    <mergeCell ref="K47:L47"/>
    <mergeCell ref="M47:O47"/>
    <mergeCell ref="H48:J48"/>
    <mergeCell ref="K48:K49"/>
    <mergeCell ref="C51:E51"/>
    <mergeCell ref="C52:E52"/>
    <mergeCell ref="D53:E53"/>
    <mergeCell ref="D54:E54"/>
    <mergeCell ref="D55:E55"/>
    <mergeCell ref="D56:E56"/>
    <mergeCell ref="D57:E57"/>
    <mergeCell ref="D70:E70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</mergeCells>
  <pageMargins left="0.7" right="0.7" top="0.75" bottom="0.75" header="0.3" footer="0.3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20"/>
  <sheetViews>
    <sheetView tabSelected="1" topLeftCell="D1" zoomScale="52" zoomScaleNormal="52" workbookViewId="0">
      <selection activeCell="C2" sqref="C2:O41"/>
    </sheetView>
  </sheetViews>
  <sheetFormatPr defaultRowHeight="23.25" x14ac:dyDescent="0.35"/>
  <cols>
    <col min="1" max="1" width="5.5703125" style="104" customWidth="1"/>
    <col min="2" max="2" width="0.140625" style="104" hidden="1" customWidth="1"/>
    <col min="3" max="3" width="35.28515625" style="104" bestFit="1" customWidth="1"/>
    <col min="4" max="4" width="26.42578125" style="104" customWidth="1"/>
    <col min="5" max="5" width="27.5703125" style="104" bestFit="1" customWidth="1"/>
    <col min="6" max="6" width="32.42578125" style="104" bestFit="1" customWidth="1"/>
    <col min="7" max="7" width="28.42578125" style="104" bestFit="1" customWidth="1"/>
    <col min="8" max="8" width="22.85546875" style="104" customWidth="1"/>
    <col min="9" max="9" width="23.5703125" style="104" customWidth="1"/>
    <col min="10" max="10" width="27.85546875" style="104" bestFit="1" customWidth="1"/>
    <col min="11" max="11" width="25.140625" style="104" customWidth="1"/>
    <col min="12" max="12" width="22.5703125" style="104" customWidth="1"/>
    <col min="13" max="13" width="26.42578125" style="104" customWidth="1"/>
    <col min="14" max="14" width="17.5703125" style="104" customWidth="1"/>
    <col min="15" max="15" width="22" style="104" customWidth="1"/>
    <col min="16" max="16" width="7.5703125" style="104" customWidth="1"/>
    <col min="17" max="17" width="14.28515625" style="104" bestFit="1" customWidth="1"/>
    <col min="18" max="18" width="11.42578125" style="104" customWidth="1"/>
    <col min="19" max="16384" width="9.140625" style="104"/>
  </cols>
  <sheetData>
    <row r="2" spans="1:16" x14ac:dyDescent="0.35">
      <c r="C2" s="246">
        <v>46112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8"/>
    </row>
    <row r="3" spans="1:16" x14ac:dyDescent="0.35">
      <c r="C3" s="249" t="s">
        <v>0</v>
      </c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/>
    </row>
    <row r="4" spans="1:16" ht="93" x14ac:dyDescent="0.35">
      <c r="A4" s="187"/>
      <c r="C4" s="106" t="s">
        <v>1</v>
      </c>
      <c r="D4" s="106" t="s">
        <v>2</v>
      </c>
      <c r="E4" s="106" t="s">
        <v>3</v>
      </c>
      <c r="F4" s="106" t="s">
        <v>4</v>
      </c>
      <c r="G4" s="106" t="s">
        <v>5</v>
      </c>
      <c r="H4" s="106" t="s">
        <v>6</v>
      </c>
      <c r="I4" s="106" t="s">
        <v>7</v>
      </c>
      <c r="J4" s="106" t="s">
        <v>8</v>
      </c>
      <c r="K4" s="107" t="s">
        <v>9</v>
      </c>
      <c r="L4" s="107" t="s">
        <v>10</v>
      </c>
      <c r="M4" s="108" t="s">
        <v>11</v>
      </c>
      <c r="N4" s="109" t="s">
        <v>12</v>
      </c>
      <c r="O4" s="106" t="s">
        <v>13</v>
      </c>
    </row>
    <row r="5" spans="1:16" x14ac:dyDescent="0.35">
      <c r="A5" s="110"/>
      <c r="C5" s="111" t="s">
        <v>14</v>
      </c>
      <c r="D5" s="112" t="s">
        <v>15</v>
      </c>
      <c r="E5" s="113" t="s">
        <v>97</v>
      </c>
      <c r="F5" s="114">
        <v>84124</v>
      </c>
      <c r="G5" s="114">
        <v>3016</v>
      </c>
      <c r="H5" s="115">
        <f>F5-G5</f>
        <v>81108</v>
      </c>
      <c r="I5" s="115">
        <f>H5-J5</f>
        <v>900</v>
      </c>
      <c r="J5" s="116">
        <v>80208</v>
      </c>
      <c r="K5" s="117">
        <v>0</v>
      </c>
      <c r="L5" s="116">
        <v>0</v>
      </c>
      <c r="M5" s="114">
        <f>'30-03-2026'!J50</f>
        <v>336982</v>
      </c>
      <c r="N5" s="117">
        <v>0</v>
      </c>
      <c r="O5" s="118">
        <v>36243</v>
      </c>
      <c r="P5" s="119"/>
    </row>
    <row r="6" spans="1:16" x14ac:dyDescent="0.35">
      <c r="A6" s="110"/>
      <c r="C6" s="111" t="s">
        <v>14</v>
      </c>
      <c r="D6" s="112" t="s">
        <v>15</v>
      </c>
      <c r="E6" s="113" t="s">
        <v>85</v>
      </c>
      <c r="F6" s="114">
        <v>182718</v>
      </c>
      <c r="G6" s="114">
        <v>5254</v>
      </c>
      <c r="H6" s="115">
        <f t="shared" ref="H6:H7" si="0">F6-G6</f>
        <v>177464</v>
      </c>
      <c r="I6" s="115">
        <f t="shared" ref="I6:I7" si="1">H6-J6</f>
        <v>70303</v>
      </c>
      <c r="J6" s="116">
        <v>107161</v>
      </c>
      <c r="K6" s="117">
        <v>0</v>
      </c>
      <c r="L6" s="116">
        <v>926</v>
      </c>
      <c r="M6" s="114">
        <v>0</v>
      </c>
      <c r="N6" s="117">
        <v>0</v>
      </c>
      <c r="O6" s="118">
        <v>0</v>
      </c>
      <c r="P6" s="110"/>
    </row>
    <row r="7" spans="1:16" x14ac:dyDescent="0.35">
      <c r="A7" s="110"/>
      <c r="C7" s="111" t="s">
        <v>14</v>
      </c>
      <c r="D7" s="112" t="s">
        <v>17</v>
      </c>
      <c r="E7" s="113" t="s">
        <v>98</v>
      </c>
      <c r="F7" s="114">
        <v>0</v>
      </c>
      <c r="G7" s="114">
        <v>0</v>
      </c>
      <c r="H7" s="115">
        <f t="shared" si="0"/>
        <v>0</v>
      </c>
      <c r="I7" s="115">
        <f t="shared" si="1"/>
        <v>0</v>
      </c>
      <c r="J7" s="116">
        <v>0</v>
      </c>
      <c r="K7" s="117">
        <v>0</v>
      </c>
      <c r="L7" s="116">
        <v>1</v>
      </c>
      <c r="M7" s="114">
        <f>'30-03-2026'!J51</f>
        <v>3394573</v>
      </c>
      <c r="N7" s="117">
        <v>0</v>
      </c>
      <c r="O7" s="118">
        <v>58400</v>
      </c>
    </row>
    <row r="8" spans="1:16" x14ac:dyDescent="0.35">
      <c r="A8" s="110"/>
      <c r="C8" s="111" t="s">
        <v>14</v>
      </c>
      <c r="D8" s="112" t="s">
        <v>18</v>
      </c>
      <c r="E8" s="113" t="s">
        <v>97</v>
      </c>
      <c r="F8" s="114">
        <v>134882</v>
      </c>
      <c r="G8" s="114">
        <v>2623</v>
      </c>
      <c r="H8" s="115">
        <f t="shared" ref="H8:H11" si="2">F8-G8</f>
        <v>132259</v>
      </c>
      <c r="I8" s="115">
        <f t="shared" ref="I8:I11" si="3">H8-J8</f>
        <v>62010</v>
      </c>
      <c r="J8" s="116">
        <v>70249</v>
      </c>
      <c r="K8" s="117">
        <v>0</v>
      </c>
      <c r="L8" s="116">
        <v>0</v>
      </c>
      <c r="M8" s="114">
        <f>'30-03-2026'!J52</f>
        <v>1520182</v>
      </c>
      <c r="N8" s="117">
        <v>0</v>
      </c>
      <c r="O8" s="118">
        <v>306869</v>
      </c>
    </row>
    <row r="9" spans="1:16" x14ac:dyDescent="0.35">
      <c r="A9" s="110"/>
      <c r="C9" s="111" t="s">
        <v>14</v>
      </c>
      <c r="D9" s="112" t="s">
        <v>19</v>
      </c>
      <c r="E9" s="113" t="s">
        <v>86</v>
      </c>
      <c r="F9" s="114">
        <v>70874</v>
      </c>
      <c r="G9" s="114">
        <v>0</v>
      </c>
      <c r="H9" s="115">
        <f t="shared" si="2"/>
        <v>70874</v>
      </c>
      <c r="I9" s="115">
        <f t="shared" si="3"/>
        <v>59573</v>
      </c>
      <c r="J9" s="116">
        <v>11301</v>
      </c>
      <c r="K9" s="117">
        <v>0</v>
      </c>
      <c r="L9" s="116">
        <v>0</v>
      </c>
      <c r="M9" s="114">
        <f>'30-03-2026'!J53</f>
        <v>1258241</v>
      </c>
      <c r="N9" s="117">
        <v>0</v>
      </c>
      <c r="O9" s="118">
        <v>341764</v>
      </c>
    </row>
    <row r="10" spans="1:16" x14ac:dyDescent="0.35">
      <c r="A10" s="110"/>
      <c r="C10" s="111" t="s">
        <v>14</v>
      </c>
      <c r="D10" s="112" t="s">
        <v>20</v>
      </c>
      <c r="E10" s="113" t="s">
        <v>95</v>
      </c>
      <c r="F10" s="114">
        <v>136418</v>
      </c>
      <c r="G10" s="114">
        <v>1980</v>
      </c>
      <c r="H10" s="115">
        <f t="shared" si="2"/>
        <v>134438</v>
      </c>
      <c r="I10" s="115">
        <f t="shared" si="3"/>
        <v>5264</v>
      </c>
      <c r="J10" s="116">
        <v>129174</v>
      </c>
      <c r="K10" s="117">
        <v>13670</v>
      </c>
      <c r="L10" s="116">
        <v>0</v>
      </c>
      <c r="M10" s="114">
        <f>'30-03-2026'!J54</f>
        <v>1172871</v>
      </c>
      <c r="N10" s="117">
        <v>8804</v>
      </c>
      <c r="O10" s="118">
        <v>115484</v>
      </c>
    </row>
    <row r="11" spans="1:16" x14ac:dyDescent="0.35">
      <c r="A11" s="110"/>
      <c r="C11" s="111" t="s">
        <v>14</v>
      </c>
      <c r="D11" s="112" t="s">
        <v>21</v>
      </c>
      <c r="E11" s="113" t="s">
        <v>98</v>
      </c>
      <c r="F11" s="114">
        <v>96359</v>
      </c>
      <c r="G11" s="114">
        <v>420</v>
      </c>
      <c r="H11" s="115">
        <f t="shared" si="2"/>
        <v>95939</v>
      </c>
      <c r="I11" s="115">
        <f t="shared" si="3"/>
        <v>29332</v>
      </c>
      <c r="J11" s="116">
        <v>66607</v>
      </c>
      <c r="K11" s="117">
        <v>0</v>
      </c>
      <c r="L11" s="116">
        <v>0</v>
      </c>
      <c r="M11" s="114">
        <f>'30-03-2026'!J55</f>
        <v>609156</v>
      </c>
      <c r="N11" s="117">
        <v>0</v>
      </c>
      <c r="O11" s="118">
        <v>107582</v>
      </c>
    </row>
    <row r="12" spans="1:16" x14ac:dyDescent="0.35">
      <c r="A12" s="120"/>
      <c r="C12" s="106" t="s">
        <v>22</v>
      </c>
      <c r="D12" s="106"/>
      <c r="E12" s="106"/>
      <c r="F12" s="121">
        <f t="shared" ref="F12:O12" si="4">SUM(F5:F11)</f>
        <v>705375</v>
      </c>
      <c r="G12" s="121">
        <f t="shared" si="4"/>
        <v>13293</v>
      </c>
      <c r="H12" s="121">
        <f t="shared" si="4"/>
        <v>692082</v>
      </c>
      <c r="I12" s="121">
        <f t="shared" si="4"/>
        <v>227382</v>
      </c>
      <c r="J12" s="121">
        <f t="shared" si="4"/>
        <v>464700</v>
      </c>
      <c r="K12" s="121">
        <f t="shared" si="4"/>
        <v>13670</v>
      </c>
      <c r="L12" s="121">
        <f t="shared" si="4"/>
        <v>927</v>
      </c>
      <c r="M12" s="173">
        <f t="shared" si="4"/>
        <v>8292005</v>
      </c>
      <c r="N12" s="121">
        <f t="shared" si="4"/>
        <v>8804</v>
      </c>
      <c r="O12" s="121">
        <f t="shared" si="4"/>
        <v>966342</v>
      </c>
    </row>
    <row r="13" spans="1:16" x14ac:dyDescent="0.35">
      <c r="C13" s="111" t="s">
        <v>23</v>
      </c>
      <c r="D13" s="112" t="s">
        <v>24</v>
      </c>
      <c r="E13" s="113" t="s">
        <v>84</v>
      </c>
      <c r="F13" s="114">
        <v>39820</v>
      </c>
      <c r="G13" s="114">
        <v>3423</v>
      </c>
      <c r="H13" s="115">
        <f t="shared" ref="H13:H33" si="5">F13-G13</f>
        <v>36397</v>
      </c>
      <c r="I13" s="115">
        <f t="shared" ref="I13:I33" si="6">H13-J13</f>
        <v>0</v>
      </c>
      <c r="J13" s="116">
        <v>36397</v>
      </c>
      <c r="K13" s="117">
        <v>0</v>
      </c>
      <c r="L13" s="116">
        <v>0</v>
      </c>
      <c r="M13" s="114">
        <f>'30-03-2026'!J59</f>
        <v>317959</v>
      </c>
      <c r="N13" s="117">
        <v>1282</v>
      </c>
      <c r="O13" s="116">
        <v>110648</v>
      </c>
    </row>
    <row r="14" spans="1:16" x14ac:dyDescent="0.35">
      <c r="C14" s="111" t="s">
        <v>23</v>
      </c>
      <c r="D14" s="112" t="s">
        <v>25</v>
      </c>
      <c r="E14" s="113" t="s">
        <v>98</v>
      </c>
      <c r="F14" s="114">
        <v>34456</v>
      </c>
      <c r="G14" s="114">
        <v>0</v>
      </c>
      <c r="H14" s="115">
        <f t="shared" si="5"/>
        <v>34456</v>
      </c>
      <c r="I14" s="115">
        <f t="shared" si="6"/>
        <v>18381</v>
      </c>
      <c r="J14" s="116">
        <v>16075</v>
      </c>
      <c r="K14" s="117">
        <v>0</v>
      </c>
      <c r="L14" s="116">
        <v>0</v>
      </c>
      <c r="M14" s="114">
        <f>'30-03-2026'!J60</f>
        <v>1750579</v>
      </c>
      <c r="N14" s="117">
        <v>0</v>
      </c>
      <c r="O14" s="116">
        <v>358057</v>
      </c>
    </row>
    <row r="15" spans="1:16" x14ac:dyDescent="0.35">
      <c r="C15" s="111" t="s">
        <v>23</v>
      </c>
      <c r="D15" s="112" t="s">
        <v>25</v>
      </c>
      <c r="E15" s="113" t="s">
        <v>95</v>
      </c>
      <c r="F15" s="114">
        <v>27835</v>
      </c>
      <c r="G15" s="114"/>
      <c r="H15" s="115">
        <f t="shared" si="5"/>
        <v>27835</v>
      </c>
      <c r="I15" s="115">
        <f t="shared" si="6"/>
        <v>11395</v>
      </c>
      <c r="J15" s="116">
        <v>16440</v>
      </c>
      <c r="K15" s="117">
        <v>0</v>
      </c>
      <c r="L15" s="116">
        <v>0</v>
      </c>
      <c r="M15" s="114">
        <v>0</v>
      </c>
      <c r="N15" s="117">
        <v>0</v>
      </c>
      <c r="O15" s="116">
        <v>0</v>
      </c>
    </row>
    <row r="16" spans="1:16" x14ac:dyDescent="0.35">
      <c r="C16" s="111" t="s">
        <v>23</v>
      </c>
      <c r="D16" s="112" t="s">
        <v>25</v>
      </c>
      <c r="E16" s="113" t="s">
        <v>85</v>
      </c>
      <c r="F16" s="114">
        <v>40516</v>
      </c>
      <c r="G16" s="114">
        <v>0</v>
      </c>
      <c r="H16" s="115">
        <f t="shared" si="5"/>
        <v>40516</v>
      </c>
      <c r="I16" s="115">
        <f t="shared" si="6"/>
        <v>13236</v>
      </c>
      <c r="J16" s="116">
        <v>27280</v>
      </c>
      <c r="K16" s="117">
        <v>0</v>
      </c>
      <c r="L16" s="116">
        <v>0</v>
      </c>
      <c r="M16" s="114">
        <v>0</v>
      </c>
      <c r="N16" s="117">
        <v>0</v>
      </c>
      <c r="O16" s="116">
        <v>0</v>
      </c>
    </row>
    <row r="17" spans="3:15" x14ac:dyDescent="0.35">
      <c r="C17" s="111" t="s">
        <v>23</v>
      </c>
      <c r="D17" s="112" t="s">
        <v>26</v>
      </c>
      <c r="E17" s="113" t="s">
        <v>16</v>
      </c>
      <c r="F17" s="114">
        <v>0</v>
      </c>
      <c r="G17" s="114">
        <v>0</v>
      </c>
      <c r="H17" s="115">
        <f t="shared" si="5"/>
        <v>0</v>
      </c>
      <c r="I17" s="115">
        <f t="shared" si="6"/>
        <v>0</v>
      </c>
      <c r="J17" s="116">
        <v>0</v>
      </c>
      <c r="K17" s="117">
        <v>0</v>
      </c>
      <c r="L17" s="116">
        <v>0</v>
      </c>
      <c r="M17" s="114">
        <f>'30-03-2026'!J61</f>
        <v>308215</v>
      </c>
      <c r="N17" s="117">
        <v>0</v>
      </c>
      <c r="O17" s="116">
        <v>37868</v>
      </c>
    </row>
    <row r="18" spans="3:15" x14ac:dyDescent="0.35">
      <c r="C18" s="111" t="s">
        <v>23</v>
      </c>
      <c r="D18" s="112" t="s">
        <v>20</v>
      </c>
      <c r="E18" s="113" t="s">
        <v>97</v>
      </c>
      <c r="F18" s="114">
        <v>0</v>
      </c>
      <c r="G18" s="114">
        <v>0</v>
      </c>
      <c r="H18" s="115">
        <f t="shared" si="5"/>
        <v>0</v>
      </c>
      <c r="I18" s="115">
        <f t="shared" si="6"/>
        <v>0</v>
      </c>
      <c r="J18" s="116">
        <v>0</v>
      </c>
      <c r="K18" s="117">
        <v>0</v>
      </c>
      <c r="L18" s="116">
        <v>0</v>
      </c>
      <c r="M18" s="114">
        <v>0</v>
      </c>
      <c r="N18" s="117">
        <v>0</v>
      </c>
      <c r="O18" s="116">
        <v>0</v>
      </c>
    </row>
    <row r="19" spans="3:15" x14ac:dyDescent="0.35">
      <c r="C19" s="111" t="s">
        <v>23</v>
      </c>
      <c r="D19" s="112" t="s">
        <v>18</v>
      </c>
      <c r="E19" s="113" t="s">
        <v>16</v>
      </c>
      <c r="F19" s="114">
        <v>0</v>
      </c>
      <c r="G19" s="114">
        <v>0</v>
      </c>
      <c r="H19" s="115">
        <f t="shared" si="5"/>
        <v>0</v>
      </c>
      <c r="I19" s="115">
        <f t="shared" si="6"/>
        <v>0</v>
      </c>
      <c r="J19" s="116">
        <v>0</v>
      </c>
      <c r="K19" s="117">
        <v>0</v>
      </c>
      <c r="L19" s="116">
        <v>0</v>
      </c>
      <c r="M19" s="114">
        <v>0</v>
      </c>
      <c r="N19" s="117">
        <v>0</v>
      </c>
      <c r="O19" s="116">
        <v>0</v>
      </c>
    </row>
    <row r="20" spans="3:15" x14ac:dyDescent="0.35">
      <c r="C20" s="111" t="s">
        <v>23</v>
      </c>
      <c r="D20" s="106"/>
      <c r="E20" s="106"/>
      <c r="F20" s="121">
        <f>SUM(F13:F19)</f>
        <v>142627</v>
      </c>
      <c r="G20" s="121">
        <f>SUM(G13:G19)</f>
        <v>3423</v>
      </c>
      <c r="H20" s="121">
        <f>SUM(H13:H18)</f>
        <v>139204</v>
      </c>
      <c r="I20" s="121">
        <f>SUM(I13:I18)</f>
        <v>43012</v>
      </c>
      <c r="J20" s="121">
        <f>SUM(J13:J19)</f>
        <v>96192</v>
      </c>
      <c r="K20" s="121">
        <f>SUM(K13:K18)</f>
        <v>0</v>
      </c>
      <c r="L20" s="121">
        <f>SUM(L13:L18)</f>
        <v>0</v>
      </c>
      <c r="M20" s="121">
        <f>SUM(M13:M19)</f>
        <v>2376753</v>
      </c>
      <c r="N20" s="121">
        <f>SUM(N13:N18)</f>
        <v>1282</v>
      </c>
      <c r="O20" s="121">
        <f>SUM(O13:O19)</f>
        <v>506573</v>
      </c>
    </row>
    <row r="21" spans="3:15" x14ac:dyDescent="0.35">
      <c r="C21" s="111" t="s">
        <v>27</v>
      </c>
      <c r="D21" s="112" t="s">
        <v>25</v>
      </c>
      <c r="E21" s="113" t="s">
        <v>16</v>
      </c>
      <c r="F21" s="114">
        <v>0</v>
      </c>
      <c r="G21" s="114">
        <v>0</v>
      </c>
      <c r="H21" s="115">
        <f t="shared" si="5"/>
        <v>0</v>
      </c>
      <c r="I21" s="115">
        <f t="shared" si="6"/>
        <v>0</v>
      </c>
      <c r="J21" s="116">
        <v>0</v>
      </c>
      <c r="K21" s="117">
        <v>0</v>
      </c>
      <c r="L21" s="116">
        <v>0</v>
      </c>
      <c r="M21" s="114">
        <f>'30-03-2026'!J63</f>
        <v>51257</v>
      </c>
      <c r="N21" s="117">
        <v>0</v>
      </c>
      <c r="O21" s="116">
        <v>0</v>
      </c>
    </row>
    <row r="22" spans="3:15" x14ac:dyDescent="0.35">
      <c r="C22" s="106"/>
      <c r="D22" s="106"/>
      <c r="E22" s="106"/>
      <c r="F22" s="121">
        <f>SUM(F21)</f>
        <v>0</v>
      </c>
      <c r="G22" s="121">
        <f t="shared" ref="G22:O22" si="7">SUM(G21)</f>
        <v>0</v>
      </c>
      <c r="H22" s="121">
        <f t="shared" si="7"/>
        <v>0</v>
      </c>
      <c r="I22" s="121">
        <f t="shared" si="7"/>
        <v>0</v>
      </c>
      <c r="J22" s="121">
        <f t="shared" si="7"/>
        <v>0</v>
      </c>
      <c r="K22" s="121">
        <f t="shared" si="7"/>
        <v>0</v>
      </c>
      <c r="L22" s="121">
        <f t="shared" si="7"/>
        <v>0</v>
      </c>
      <c r="M22" s="121">
        <f>SUM(M21)</f>
        <v>51257</v>
      </c>
      <c r="N22" s="121">
        <f t="shared" si="7"/>
        <v>0</v>
      </c>
      <c r="O22" s="121">
        <f t="shared" si="7"/>
        <v>0</v>
      </c>
    </row>
    <row r="23" spans="3:15" x14ac:dyDescent="0.35">
      <c r="C23" s="111" t="s">
        <v>28</v>
      </c>
      <c r="D23" s="112" t="s">
        <v>29</v>
      </c>
      <c r="E23" s="113" t="s">
        <v>16</v>
      </c>
      <c r="F23" s="114">
        <v>0</v>
      </c>
      <c r="G23" s="114">
        <v>0</v>
      </c>
      <c r="H23" s="115">
        <f t="shared" si="5"/>
        <v>0</v>
      </c>
      <c r="I23" s="115">
        <f t="shared" si="6"/>
        <v>0</v>
      </c>
      <c r="J23" s="116">
        <v>0</v>
      </c>
      <c r="K23" s="117">
        <v>0</v>
      </c>
      <c r="L23" s="116">
        <v>0</v>
      </c>
      <c r="M23" s="114">
        <f>'30-03-2026'!J74</f>
        <v>33969</v>
      </c>
      <c r="N23" s="117">
        <v>0</v>
      </c>
      <c r="O23" s="116">
        <v>0</v>
      </c>
    </row>
    <row r="24" spans="3:15" x14ac:dyDescent="0.35">
      <c r="C24" s="111" t="s">
        <v>28</v>
      </c>
      <c r="D24" s="112" t="s">
        <v>25</v>
      </c>
      <c r="E24" s="113" t="s">
        <v>16</v>
      </c>
      <c r="F24" s="114">
        <v>0</v>
      </c>
      <c r="G24" s="114">
        <v>0</v>
      </c>
      <c r="H24" s="115">
        <f t="shared" si="5"/>
        <v>0</v>
      </c>
      <c r="I24" s="115">
        <f t="shared" si="6"/>
        <v>0</v>
      </c>
      <c r="J24" s="116">
        <v>0</v>
      </c>
      <c r="K24" s="117">
        <v>0</v>
      </c>
      <c r="L24" s="116">
        <v>0</v>
      </c>
      <c r="M24" s="114">
        <f>'30-03-2026'!J75</f>
        <v>142892</v>
      </c>
      <c r="N24" s="117">
        <v>0</v>
      </c>
      <c r="O24" s="116">
        <v>0</v>
      </c>
    </row>
    <row r="25" spans="3:15" x14ac:dyDescent="0.35">
      <c r="C25" s="106" t="s">
        <v>22</v>
      </c>
      <c r="D25" s="106"/>
      <c r="E25" s="106"/>
      <c r="F25" s="121">
        <f t="shared" ref="F25:L25" si="8">SUM(F23:F24)</f>
        <v>0</v>
      </c>
      <c r="G25" s="121">
        <f t="shared" si="8"/>
        <v>0</v>
      </c>
      <c r="H25" s="121">
        <f t="shared" si="8"/>
        <v>0</v>
      </c>
      <c r="I25" s="121">
        <f t="shared" si="8"/>
        <v>0</v>
      </c>
      <c r="J25" s="121">
        <f t="shared" si="8"/>
        <v>0</v>
      </c>
      <c r="K25" s="121">
        <f>SUM(K23:K24)</f>
        <v>0</v>
      </c>
      <c r="L25" s="121">
        <f t="shared" si="8"/>
        <v>0</v>
      </c>
      <c r="M25" s="121">
        <f>SUM(M23:M24)</f>
        <v>176861</v>
      </c>
      <c r="N25" s="121">
        <f t="shared" ref="N25:O25" si="9">SUM(N23:N24)</f>
        <v>0</v>
      </c>
      <c r="O25" s="121">
        <f t="shared" si="9"/>
        <v>0</v>
      </c>
    </row>
    <row r="26" spans="3:15" x14ac:dyDescent="0.35">
      <c r="C26" s="111" t="s">
        <v>30</v>
      </c>
      <c r="D26" s="112" t="s">
        <v>29</v>
      </c>
      <c r="E26" s="113" t="s">
        <v>16</v>
      </c>
      <c r="F26" s="122">
        <v>0</v>
      </c>
      <c r="G26" s="122">
        <v>0</v>
      </c>
      <c r="H26" s="115">
        <f t="shared" si="5"/>
        <v>0</v>
      </c>
      <c r="I26" s="115">
        <f t="shared" si="6"/>
        <v>0</v>
      </c>
      <c r="J26" s="123">
        <v>0</v>
      </c>
      <c r="K26" s="124">
        <v>0</v>
      </c>
      <c r="L26" s="123">
        <v>0</v>
      </c>
      <c r="M26" s="122">
        <f>'30-03-2026'!J78</f>
        <v>89658</v>
      </c>
      <c r="N26" s="124">
        <v>0</v>
      </c>
      <c r="O26" s="123">
        <v>1000</v>
      </c>
    </row>
    <row r="27" spans="3:15" x14ac:dyDescent="0.35">
      <c r="C27" s="111" t="s">
        <v>30</v>
      </c>
      <c r="D27" s="112" t="s">
        <v>31</v>
      </c>
      <c r="E27" s="113" t="s">
        <v>16</v>
      </c>
      <c r="F27" s="122">
        <v>0</v>
      </c>
      <c r="G27" s="122">
        <v>0</v>
      </c>
      <c r="H27" s="115">
        <f t="shared" si="5"/>
        <v>0</v>
      </c>
      <c r="I27" s="115">
        <f t="shared" si="6"/>
        <v>0</v>
      </c>
      <c r="J27" s="123">
        <v>0</v>
      </c>
      <c r="K27" s="124">
        <v>0</v>
      </c>
      <c r="L27" s="123">
        <v>0</v>
      </c>
      <c r="M27" s="122">
        <f>'30-03-2026'!J79</f>
        <v>17000</v>
      </c>
      <c r="N27" s="124">
        <v>0</v>
      </c>
      <c r="O27" s="123">
        <v>0</v>
      </c>
    </row>
    <row r="28" spans="3:15" x14ac:dyDescent="0.35">
      <c r="C28" s="106" t="s">
        <v>22</v>
      </c>
      <c r="D28" s="106"/>
      <c r="E28" s="106"/>
      <c r="F28" s="121">
        <f>SUM(F26:F27)</f>
        <v>0</v>
      </c>
      <c r="G28" s="121">
        <f t="shared" ref="G28:O28" si="10">SUM(G26:G27)</f>
        <v>0</v>
      </c>
      <c r="H28" s="121">
        <f t="shared" si="10"/>
        <v>0</v>
      </c>
      <c r="I28" s="121">
        <f t="shared" si="10"/>
        <v>0</v>
      </c>
      <c r="J28" s="121">
        <f t="shared" si="10"/>
        <v>0</v>
      </c>
      <c r="K28" s="121">
        <f t="shared" si="10"/>
        <v>0</v>
      </c>
      <c r="L28" s="121">
        <f t="shared" si="10"/>
        <v>0</v>
      </c>
      <c r="M28" s="121">
        <f t="shared" si="10"/>
        <v>106658</v>
      </c>
      <c r="N28" s="121">
        <f t="shared" si="10"/>
        <v>0</v>
      </c>
      <c r="O28" s="121">
        <f t="shared" si="10"/>
        <v>1000</v>
      </c>
    </row>
    <row r="29" spans="3:15" x14ac:dyDescent="0.35">
      <c r="C29" s="111" t="s">
        <v>32</v>
      </c>
      <c r="D29" s="112" t="s">
        <v>33</v>
      </c>
      <c r="E29" s="113" t="s">
        <v>95</v>
      </c>
      <c r="F29" s="125">
        <v>37038</v>
      </c>
      <c r="G29" s="114">
        <v>0</v>
      </c>
      <c r="H29" s="115">
        <f t="shared" si="5"/>
        <v>37038</v>
      </c>
      <c r="I29" s="115">
        <f t="shared" si="6"/>
        <v>11384</v>
      </c>
      <c r="J29" s="116">
        <v>25654</v>
      </c>
      <c r="K29" s="117">
        <v>0</v>
      </c>
      <c r="L29" s="116">
        <v>0</v>
      </c>
      <c r="M29" s="114">
        <f>'30-03-2026'!J66</f>
        <v>1697557</v>
      </c>
      <c r="N29" s="117">
        <v>0</v>
      </c>
      <c r="O29" s="116">
        <v>85010</v>
      </c>
    </row>
    <row r="30" spans="3:15" x14ac:dyDescent="0.35">
      <c r="C30" s="111"/>
      <c r="D30" s="112" t="s">
        <v>33</v>
      </c>
      <c r="E30" s="113" t="s">
        <v>85</v>
      </c>
      <c r="F30" s="125">
        <v>12651</v>
      </c>
      <c r="G30" s="114">
        <v>10998</v>
      </c>
      <c r="H30" s="115"/>
      <c r="I30" s="115"/>
      <c r="J30" s="116">
        <v>1653</v>
      </c>
      <c r="K30" s="117">
        <v>0</v>
      </c>
      <c r="L30" s="116">
        <v>0</v>
      </c>
      <c r="M30" s="114">
        <v>0</v>
      </c>
      <c r="N30" s="117">
        <v>0</v>
      </c>
      <c r="O30" s="116">
        <v>0</v>
      </c>
    </row>
    <row r="31" spans="3:15" x14ac:dyDescent="0.35">
      <c r="C31" s="111" t="s">
        <v>32</v>
      </c>
      <c r="D31" s="112" t="s">
        <v>31</v>
      </c>
      <c r="E31" s="113" t="s">
        <v>16</v>
      </c>
      <c r="F31" s="125">
        <v>0</v>
      </c>
      <c r="G31" s="114">
        <v>0</v>
      </c>
      <c r="H31" s="115">
        <f t="shared" si="5"/>
        <v>0</v>
      </c>
      <c r="I31" s="115">
        <f t="shared" si="6"/>
        <v>0</v>
      </c>
      <c r="J31" s="116">
        <v>0</v>
      </c>
      <c r="K31" s="117">
        <v>0</v>
      </c>
      <c r="L31" s="116">
        <v>0</v>
      </c>
      <c r="M31" s="114">
        <f>'30-03-2026'!J67</f>
        <v>174473</v>
      </c>
      <c r="N31" s="117">
        <v>0</v>
      </c>
      <c r="O31" s="116">
        <v>0</v>
      </c>
    </row>
    <row r="32" spans="3:15" x14ac:dyDescent="0.35">
      <c r="C32" s="111" t="s">
        <v>32</v>
      </c>
      <c r="D32" s="112" t="s">
        <v>26</v>
      </c>
      <c r="E32" s="113" t="s">
        <v>16</v>
      </c>
      <c r="F32" s="125">
        <v>0</v>
      </c>
      <c r="G32" s="114">
        <v>0</v>
      </c>
      <c r="H32" s="115">
        <f t="shared" si="5"/>
        <v>0</v>
      </c>
      <c r="I32" s="115">
        <f t="shared" si="6"/>
        <v>0</v>
      </c>
      <c r="J32" s="116">
        <v>0</v>
      </c>
      <c r="K32" s="117">
        <v>0</v>
      </c>
      <c r="L32" s="116">
        <v>0</v>
      </c>
      <c r="M32" s="114">
        <f>'30-03-2026'!J68</f>
        <v>35126</v>
      </c>
      <c r="N32" s="117">
        <v>0</v>
      </c>
      <c r="O32" s="116">
        <v>0</v>
      </c>
    </row>
    <row r="33" spans="3:15" x14ac:dyDescent="0.35">
      <c r="C33" s="111" t="s">
        <v>32</v>
      </c>
      <c r="D33" s="112" t="s">
        <v>34</v>
      </c>
      <c r="E33" s="113" t="s">
        <v>86</v>
      </c>
      <c r="F33" s="125">
        <v>62173</v>
      </c>
      <c r="G33" s="114">
        <v>0</v>
      </c>
      <c r="H33" s="115">
        <f t="shared" si="5"/>
        <v>62173</v>
      </c>
      <c r="I33" s="115">
        <f t="shared" si="6"/>
        <v>62173</v>
      </c>
      <c r="J33" s="116">
        <v>0</v>
      </c>
      <c r="K33" s="117">
        <v>0</v>
      </c>
      <c r="L33" s="116">
        <v>0</v>
      </c>
      <c r="M33" s="114">
        <f>'30-03-2026'!J69</f>
        <v>1393001</v>
      </c>
      <c r="N33" s="117">
        <v>0</v>
      </c>
      <c r="O33" s="116">
        <v>28000</v>
      </c>
    </row>
    <row r="34" spans="3:15" x14ac:dyDescent="0.35">
      <c r="C34" s="106" t="s">
        <v>22</v>
      </c>
      <c r="D34" s="106"/>
      <c r="E34" s="106"/>
      <c r="F34" s="121">
        <f t="shared" ref="F34:O34" si="11">SUM(F29:F33)</f>
        <v>111862</v>
      </c>
      <c r="G34" s="121">
        <f t="shared" si="11"/>
        <v>10998</v>
      </c>
      <c r="H34" s="121">
        <f t="shared" si="11"/>
        <v>99211</v>
      </c>
      <c r="I34" s="121">
        <f t="shared" si="11"/>
        <v>73557</v>
      </c>
      <c r="J34" s="121">
        <f t="shared" si="11"/>
        <v>27307</v>
      </c>
      <c r="K34" s="121">
        <f t="shared" si="11"/>
        <v>0</v>
      </c>
      <c r="L34" s="121">
        <f t="shared" si="11"/>
        <v>0</v>
      </c>
      <c r="M34" s="121">
        <f t="shared" si="11"/>
        <v>3300157</v>
      </c>
      <c r="N34" s="121">
        <f t="shared" si="11"/>
        <v>0</v>
      </c>
      <c r="O34" s="121">
        <f t="shared" si="11"/>
        <v>113010</v>
      </c>
    </row>
    <row r="35" spans="3:15" x14ac:dyDescent="0.35">
      <c r="C35" s="126" t="s">
        <v>35</v>
      </c>
      <c r="D35" s="126"/>
      <c r="E35" s="126"/>
      <c r="F35" s="127">
        <f t="shared" ref="F35:O35" si="12">F34+F28+F25+F22+F20+F12</f>
        <v>959864</v>
      </c>
      <c r="G35" s="127">
        <f t="shared" si="12"/>
        <v>27714</v>
      </c>
      <c r="H35" s="127">
        <f t="shared" si="12"/>
        <v>930497</v>
      </c>
      <c r="I35" s="127">
        <f t="shared" si="12"/>
        <v>343951</v>
      </c>
      <c r="J35" s="127">
        <f t="shared" si="12"/>
        <v>588199</v>
      </c>
      <c r="K35" s="127">
        <f t="shared" si="12"/>
        <v>13670</v>
      </c>
      <c r="L35" s="127">
        <f t="shared" si="12"/>
        <v>927</v>
      </c>
      <c r="M35" s="127">
        <f t="shared" si="12"/>
        <v>14303691</v>
      </c>
      <c r="N35" s="127">
        <f t="shared" si="12"/>
        <v>10086</v>
      </c>
      <c r="O35" s="127">
        <f t="shared" si="12"/>
        <v>1586925</v>
      </c>
    </row>
    <row r="36" spans="3:15" x14ac:dyDescent="0.35">
      <c r="F36" s="128" t="s">
        <v>36</v>
      </c>
      <c r="G36" s="116">
        <f>O12+L12+J12-K12</f>
        <v>1418299</v>
      </c>
      <c r="H36" s="252"/>
      <c r="I36" s="253"/>
      <c r="J36" s="129"/>
      <c r="K36" s="130"/>
      <c r="L36" s="130"/>
    </row>
    <row r="37" spans="3:15" x14ac:dyDescent="0.35">
      <c r="F37" s="131" t="s">
        <v>37</v>
      </c>
      <c r="G37" s="116">
        <f>O20+L20+J20-K20+O22+L22+J22-K22</f>
        <v>602765</v>
      </c>
      <c r="H37" s="132"/>
      <c r="I37" s="133" t="s">
        <v>89</v>
      </c>
      <c r="J37" s="133" t="s">
        <v>90</v>
      </c>
      <c r="K37" s="239" t="s">
        <v>88</v>
      </c>
      <c r="L37" s="238"/>
      <c r="M37" s="254" t="s">
        <v>87</v>
      </c>
      <c r="N37" s="255"/>
      <c r="O37" s="256"/>
    </row>
    <row r="38" spans="3:15" x14ac:dyDescent="0.35">
      <c r="C38" s="257" t="s">
        <v>68</v>
      </c>
      <c r="D38" s="258"/>
      <c r="F38" s="134" t="s">
        <v>38</v>
      </c>
      <c r="G38" s="116">
        <f>O25+L25+J25-K25</f>
        <v>0</v>
      </c>
      <c r="H38" s="132"/>
      <c r="I38" s="133"/>
      <c r="J38" s="135"/>
      <c r="K38" s="239"/>
      <c r="L38" s="238"/>
      <c r="M38" s="136"/>
      <c r="N38" s="137"/>
      <c r="O38" s="138"/>
    </row>
    <row r="39" spans="3:15" x14ac:dyDescent="0.35">
      <c r="C39" s="139"/>
      <c r="D39" s="139"/>
      <c r="F39" s="140" t="s">
        <v>30</v>
      </c>
      <c r="G39" s="116">
        <f>O28+L28+J28-K28</f>
        <v>1000</v>
      </c>
      <c r="H39" s="132"/>
      <c r="I39" s="141"/>
      <c r="J39" s="135"/>
      <c r="K39" s="239"/>
      <c r="L39" s="238"/>
      <c r="M39" s="136"/>
      <c r="N39" s="137"/>
      <c r="O39" s="138"/>
    </row>
    <row r="40" spans="3:15" x14ac:dyDescent="0.35">
      <c r="C40" s="139"/>
      <c r="D40" s="139"/>
      <c r="F40" s="128" t="s">
        <v>39</v>
      </c>
      <c r="G40" s="116">
        <f>O34+L34+J34-K34</f>
        <v>140317</v>
      </c>
      <c r="H40" s="132"/>
      <c r="I40" s="141"/>
      <c r="J40" s="135"/>
      <c r="K40" s="239"/>
      <c r="L40" s="238"/>
      <c r="M40" s="136"/>
      <c r="N40" s="137"/>
      <c r="O40" s="138"/>
    </row>
    <row r="41" spans="3:15" x14ac:dyDescent="0.35">
      <c r="C41" s="139"/>
      <c r="D41" s="139"/>
      <c r="F41" s="142" t="s">
        <v>40</v>
      </c>
      <c r="G41" s="143">
        <f>SUM(G36:G40)</f>
        <v>2162381</v>
      </c>
      <c r="I41" s="139"/>
      <c r="J41" s="135"/>
      <c r="K41" s="239"/>
      <c r="L41" s="238"/>
      <c r="M41" s="136"/>
      <c r="N41" s="137"/>
      <c r="O41" s="138"/>
    </row>
    <row r="42" spans="3:15" x14ac:dyDescent="0.35">
      <c r="C42" s="139"/>
      <c r="D42" s="139"/>
      <c r="F42" s="144"/>
      <c r="G42" s="184"/>
      <c r="I42" s="139"/>
      <c r="J42" s="135"/>
      <c r="K42" s="239"/>
      <c r="L42" s="238"/>
      <c r="M42" s="136"/>
      <c r="N42" s="137"/>
      <c r="O42" s="138"/>
    </row>
    <row r="43" spans="3:15" x14ac:dyDescent="0.35">
      <c r="C43" s="139"/>
      <c r="D43" s="139"/>
      <c r="F43" s="144"/>
      <c r="G43" s="184"/>
      <c r="I43" s="139"/>
      <c r="J43" s="135"/>
      <c r="K43" s="137"/>
      <c r="L43" s="137"/>
      <c r="M43" s="136"/>
      <c r="N43" s="137"/>
      <c r="O43" s="138"/>
    </row>
    <row r="44" spans="3:15" x14ac:dyDescent="0.35">
      <c r="C44" s="139"/>
      <c r="D44" s="139"/>
      <c r="F44" s="144"/>
      <c r="G44" s="145"/>
      <c r="I44" s="139"/>
      <c r="J44" s="135"/>
      <c r="K44" s="137"/>
      <c r="L44" s="137"/>
      <c r="M44" s="136"/>
      <c r="N44" s="137"/>
      <c r="O44" s="138"/>
    </row>
    <row r="45" spans="3:15" x14ac:dyDescent="0.35">
      <c r="C45" s="139"/>
      <c r="D45" s="139"/>
      <c r="F45" s="144"/>
      <c r="G45" s="145"/>
      <c r="I45" s="139"/>
      <c r="J45" s="135"/>
      <c r="K45" s="137"/>
      <c r="L45" s="137"/>
      <c r="M45" s="136"/>
      <c r="N45" s="137"/>
      <c r="O45" s="138"/>
    </row>
    <row r="46" spans="3:15" x14ac:dyDescent="0.35">
      <c r="C46" s="139"/>
      <c r="D46" s="139"/>
      <c r="F46" s="144"/>
      <c r="G46" s="145"/>
      <c r="I46" s="139"/>
      <c r="J46" s="135"/>
      <c r="K46" s="237"/>
      <c r="L46" s="238"/>
      <c r="M46" s="237"/>
      <c r="N46" s="239"/>
      <c r="O46" s="238"/>
    </row>
    <row r="47" spans="3:15" x14ac:dyDescent="0.35">
      <c r="C47" s="139"/>
      <c r="D47" s="139"/>
      <c r="F47" s="144"/>
      <c r="G47" s="145"/>
      <c r="I47" s="139"/>
      <c r="J47" s="133"/>
      <c r="K47" s="237"/>
      <c r="L47" s="238"/>
      <c r="M47" s="237"/>
      <c r="N47" s="239"/>
      <c r="O47" s="238"/>
    </row>
    <row r="48" spans="3:15" x14ac:dyDescent="0.35">
      <c r="C48" s="139"/>
      <c r="D48" s="139"/>
      <c r="F48" s="144"/>
      <c r="G48" s="145"/>
      <c r="I48" s="139"/>
      <c r="J48" s="133"/>
      <c r="K48" s="237"/>
      <c r="L48" s="238"/>
      <c r="M48" s="237"/>
      <c r="N48" s="239"/>
      <c r="O48" s="238"/>
    </row>
    <row r="49" spans="3:15" x14ac:dyDescent="0.35">
      <c r="C49" s="139"/>
      <c r="D49" s="139"/>
      <c r="F49" s="144"/>
      <c r="G49" s="145"/>
      <c r="I49" s="139"/>
      <c r="J49" s="133"/>
      <c r="K49" s="237"/>
      <c r="L49" s="238"/>
      <c r="M49" s="237"/>
      <c r="N49" s="239"/>
      <c r="O49" s="238"/>
    </row>
    <row r="50" spans="3:15" x14ac:dyDescent="0.35">
      <c r="C50" s="139"/>
      <c r="D50" s="139"/>
      <c r="F50" s="144"/>
      <c r="G50" s="145"/>
      <c r="I50" s="139"/>
      <c r="J50" s="133"/>
      <c r="K50" s="237"/>
      <c r="L50" s="238"/>
      <c r="M50" s="237"/>
      <c r="N50" s="239"/>
      <c r="O50" s="238"/>
    </row>
    <row r="51" spans="3:15" x14ac:dyDescent="0.35">
      <c r="H51" s="240" t="s">
        <v>41</v>
      </c>
      <c r="I51" s="240"/>
      <c r="J51" s="240"/>
      <c r="K51" s="265" t="s">
        <v>102</v>
      </c>
      <c r="L51" s="110"/>
      <c r="M51" s="146"/>
    </row>
    <row r="52" spans="3:15" x14ac:dyDescent="0.35">
      <c r="F52" s="111" t="s">
        <v>101</v>
      </c>
      <c r="G52" s="158" t="s">
        <v>60</v>
      </c>
      <c r="H52" s="147" t="s">
        <v>42</v>
      </c>
      <c r="I52" s="147" t="s">
        <v>43</v>
      </c>
      <c r="J52" s="147" t="s">
        <v>44</v>
      </c>
      <c r="K52" s="266"/>
      <c r="L52" s="146"/>
    </row>
    <row r="53" spans="3:15" x14ac:dyDescent="0.35">
      <c r="F53" s="162" t="s">
        <v>15</v>
      </c>
      <c r="G53" s="139">
        <v>48478</v>
      </c>
      <c r="H53" s="104" t="s">
        <v>14</v>
      </c>
      <c r="I53" s="104" t="s">
        <v>15</v>
      </c>
      <c r="J53" s="148">
        <f>M5-O5-N5-L5+I5+I6-L6+G53</f>
        <v>419494</v>
      </c>
      <c r="K53" s="149">
        <v>371016</v>
      </c>
      <c r="L53" s="150">
        <f>J53-K53</f>
        <v>48478</v>
      </c>
      <c r="M53" s="148"/>
    </row>
    <row r="54" spans="3:15" x14ac:dyDescent="0.35">
      <c r="C54" s="242">
        <v>45931</v>
      </c>
      <c r="D54" s="242"/>
      <c r="E54" s="267"/>
      <c r="F54" s="139" t="s">
        <v>17</v>
      </c>
      <c r="G54" s="139">
        <v>295763</v>
      </c>
      <c r="H54" s="104" t="s">
        <v>14</v>
      </c>
      <c r="I54" s="104" t="s">
        <v>17</v>
      </c>
      <c r="J54" s="148">
        <f>M7-O7-N7-L7+I7+G54</f>
        <v>3631935</v>
      </c>
      <c r="K54" s="149">
        <v>3336172</v>
      </c>
      <c r="L54" s="150">
        <f t="shared" ref="L54:L64" si="13">J54-K54</f>
        <v>295763</v>
      </c>
      <c r="M54" s="148"/>
    </row>
    <row r="55" spans="3:15" x14ac:dyDescent="0.35">
      <c r="C55" s="243" t="s">
        <v>63</v>
      </c>
      <c r="D55" s="243"/>
      <c r="E55" s="268"/>
      <c r="F55" s="139" t="s">
        <v>18</v>
      </c>
      <c r="G55" s="139">
        <v>257990</v>
      </c>
      <c r="H55" s="104" t="s">
        <v>14</v>
      </c>
      <c r="I55" s="104" t="s">
        <v>18</v>
      </c>
      <c r="J55" s="148">
        <f>M8-O8-N8-L8+I8+G55</f>
        <v>1533313</v>
      </c>
      <c r="K55" s="149">
        <v>1275323</v>
      </c>
      <c r="L55" s="150">
        <f t="shared" si="13"/>
        <v>257990</v>
      </c>
      <c r="M55" s="148"/>
    </row>
    <row r="56" spans="3:15" x14ac:dyDescent="0.35">
      <c r="C56" s="139" t="s">
        <v>64</v>
      </c>
      <c r="D56" s="225">
        <f>'Opening Balance FEB 2026'!J4</f>
        <v>1308640</v>
      </c>
      <c r="E56" s="259"/>
      <c r="F56" s="139" t="s">
        <v>19</v>
      </c>
      <c r="G56" s="139">
        <v>95131</v>
      </c>
      <c r="H56" s="104" t="s">
        <v>14</v>
      </c>
      <c r="I56" s="104" t="s">
        <v>19</v>
      </c>
      <c r="J56" s="148">
        <f>M9-O9-N9-L9+I9+G56</f>
        <v>1071181</v>
      </c>
      <c r="K56" s="149">
        <v>976050</v>
      </c>
      <c r="L56" s="150">
        <f t="shared" si="13"/>
        <v>95131</v>
      </c>
      <c r="M56" s="148"/>
    </row>
    <row r="57" spans="3:15" x14ac:dyDescent="0.35">
      <c r="C57" s="139" t="s">
        <v>65</v>
      </c>
      <c r="D57" s="225">
        <f>G41</f>
        <v>2162381</v>
      </c>
      <c r="E57" s="259"/>
      <c r="F57" s="139" t="s">
        <v>20</v>
      </c>
      <c r="G57" s="139">
        <v>158734</v>
      </c>
      <c r="H57" s="104" t="s">
        <v>14</v>
      </c>
      <c r="I57" s="104" t="s">
        <v>20</v>
      </c>
      <c r="J57" s="148">
        <f>M10-O10-N10-L10+I10+G57</f>
        <v>1212581</v>
      </c>
      <c r="K57" s="149">
        <v>1053847</v>
      </c>
      <c r="L57" s="150">
        <f t="shared" si="13"/>
        <v>158734</v>
      </c>
      <c r="M57" s="148"/>
    </row>
    <row r="58" spans="3:15" x14ac:dyDescent="0.35">
      <c r="C58" s="151" t="s">
        <v>45</v>
      </c>
      <c r="D58" s="244">
        <f>D56+D57</f>
        <v>3471021</v>
      </c>
      <c r="E58" s="269"/>
      <c r="F58" s="139" t="s">
        <v>21</v>
      </c>
      <c r="G58" s="139">
        <v>68172</v>
      </c>
      <c r="H58" s="104" t="s">
        <v>14</v>
      </c>
      <c r="I58" s="104" t="s">
        <v>21</v>
      </c>
      <c r="J58" s="148">
        <f>M11-O11-N11-L11+I11+G58</f>
        <v>599078</v>
      </c>
      <c r="K58" s="149">
        <v>530906</v>
      </c>
      <c r="L58" s="150">
        <f t="shared" si="13"/>
        <v>68172</v>
      </c>
    </row>
    <row r="59" spans="3:15" x14ac:dyDescent="0.35">
      <c r="C59" s="139" t="s">
        <v>66</v>
      </c>
      <c r="D59" s="235">
        <v>0</v>
      </c>
      <c r="E59" s="264"/>
      <c r="F59" s="167" t="s">
        <v>22</v>
      </c>
      <c r="G59" s="167">
        <f>SUM(G53:G58)</f>
        <v>924268</v>
      </c>
      <c r="H59" s="152" t="s">
        <v>45</v>
      </c>
      <c r="I59" s="152"/>
      <c r="J59" s="153">
        <f>SUM(J53:J58)</f>
        <v>8467582</v>
      </c>
      <c r="K59" s="154">
        <f>SUM(K53:K58)</f>
        <v>7543314</v>
      </c>
      <c r="L59" s="150">
        <f t="shared" si="13"/>
        <v>924268</v>
      </c>
    </row>
    <row r="60" spans="3:15" x14ac:dyDescent="0.35">
      <c r="C60" s="139" t="s">
        <v>78</v>
      </c>
      <c r="D60" s="235">
        <v>0</v>
      </c>
      <c r="E60" s="264"/>
      <c r="F60" s="139"/>
      <c r="G60" s="139"/>
      <c r="H60" s="147" t="s">
        <v>42</v>
      </c>
      <c r="I60" s="147" t="s">
        <v>43</v>
      </c>
      <c r="J60" s="147" t="s">
        <v>44</v>
      </c>
      <c r="K60" s="146"/>
      <c r="L60" s="150"/>
    </row>
    <row r="61" spans="3:15" x14ac:dyDescent="0.35">
      <c r="C61" s="139" t="s">
        <v>75</v>
      </c>
      <c r="D61" s="235">
        <v>10000</v>
      </c>
      <c r="E61" s="264"/>
      <c r="F61" s="139"/>
      <c r="G61" s="139"/>
      <c r="H61" s="104" t="s">
        <v>46</v>
      </c>
      <c r="I61" s="104" t="s">
        <v>48</v>
      </c>
      <c r="J61" s="148">
        <f>M13-O13-N13-L13+I13</f>
        <v>206029</v>
      </c>
      <c r="K61" s="149">
        <v>206029</v>
      </c>
      <c r="L61" s="150">
        <f t="shared" si="13"/>
        <v>0</v>
      </c>
    </row>
    <row r="62" spans="3:15" x14ac:dyDescent="0.35">
      <c r="C62" s="156" t="s">
        <v>83</v>
      </c>
      <c r="D62" s="227">
        <f>SUM(D59:E61)</f>
        <v>10000</v>
      </c>
      <c r="E62" s="260"/>
      <c r="F62" s="139"/>
      <c r="G62" s="139"/>
      <c r="H62" s="104" t="s">
        <v>46</v>
      </c>
      <c r="I62" s="104" t="s">
        <v>47</v>
      </c>
      <c r="J62" s="148">
        <f>M14-O14-N14-L14+I14+I15+I16</f>
        <v>1435534</v>
      </c>
      <c r="K62" s="149">
        <v>1435534</v>
      </c>
      <c r="L62" s="150">
        <f t="shared" si="13"/>
        <v>0</v>
      </c>
    </row>
    <row r="63" spans="3:15" x14ac:dyDescent="0.35">
      <c r="C63" s="157" t="s">
        <v>67</v>
      </c>
      <c r="D63" s="229">
        <f>D58-D59-D61-D60</f>
        <v>3461021</v>
      </c>
      <c r="E63" s="261"/>
      <c r="F63" s="139"/>
      <c r="G63" s="139"/>
      <c r="H63" s="104" t="s">
        <v>46</v>
      </c>
      <c r="I63" s="104" t="s">
        <v>15</v>
      </c>
      <c r="J63" s="148">
        <f>M17-O17-N17-L17+I17</f>
        <v>270347</v>
      </c>
      <c r="K63" s="149">
        <v>270347</v>
      </c>
      <c r="L63" s="150">
        <f t="shared" si="13"/>
        <v>0</v>
      </c>
      <c r="N63" s="148"/>
    </row>
    <row r="64" spans="3:15" x14ac:dyDescent="0.35">
      <c r="C64" s="158" t="s">
        <v>68</v>
      </c>
      <c r="D64" s="231"/>
      <c r="E64" s="262"/>
      <c r="F64" s="139"/>
      <c r="G64" s="139"/>
      <c r="H64" s="104" t="s">
        <v>46</v>
      </c>
      <c r="I64" s="104" t="s">
        <v>20</v>
      </c>
      <c r="J64" s="148">
        <f>M18-O18</f>
        <v>0</v>
      </c>
      <c r="K64" s="149">
        <v>0</v>
      </c>
      <c r="L64" s="150">
        <f t="shared" si="13"/>
        <v>0</v>
      </c>
      <c r="M64" s="148"/>
      <c r="N64" s="148"/>
    </row>
    <row r="65" spans="3:14" x14ac:dyDescent="0.35">
      <c r="C65" s="139" t="s">
        <v>14</v>
      </c>
      <c r="D65" s="225">
        <v>0</v>
      </c>
      <c r="E65" s="259"/>
      <c r="F65" s="139"/>
      <c r="G65" s="139"/>
      <c r="H65" s="104" t="s">
        <v>27</v>
      </c>
      <c r="I65" s="104" t="s">
        <v>47</v>
      </c>
      <c r="J65" s="148">
        <f>M21-O21-N21-L21+I21</f>
        <v>51257</v>
      </c>
      <c r="K65" s="149">
        <v>51257</v>
      </c>
      <c r="L65" s="150">
        <f>J65-K65</f>
        <v>0</v>
      </c>
    </row>
    <row r="66" spans="3:14" x14ac:dyDescent="0.35">
      <c r="C66" s="139" t="s">
        <v>72</v>
      </c>
      <c r="D66" s="225">
        <v>0</v>
      </c>
      <c r="E66" s="259"/>
      <c r="F66" s="139"/>
      <c r="G66" s="139"/>
      <c r="H66" s="152" t="s">
        <v>45</v>
      </c>
      <c r="I66" s="152"/>
      <c r="J66" s="153">
        <f>SUM(J61:J65)</f>
        <v>1963167</v>
      </c>
      <c r="K66" s="149">
        <f>SUM(K61:K65)</f>
        <v>1963167</v>
      </c>
      <c r="L66" s="150">
        <f>J66-K66</f>
        <v>0</v>
      </c>
    </row>
    <row r="67" spans="3:14" x14ac:dyDescent="0.35">
      <c r="C67" s="139" t="s">
        <v>69</v>
      </c>
      <c r="D67" s="225">
        <v>0</v>
      </c>
      <c r="E67" s="259"/>
      <c r="F67" s="139"/>
      <c r="G67" s="139"/>
      <c r="H67" s="147" t="s">
        <v>42</v>
      </c>
      <c r="I67" s="147" t="s">
        <v>43</v>
      </c>
      <c r="J67" s="147" t="s">
        <v>44</v>
      </c>
    </row>
    <row r="68" spans="3:14" x14ac:dyDescent="0.35">
      <c r="C68" s="139" t="s">
        <v>70</v>
      </c>
      <c r="D68" s="225">
        <v>0</v>
      </c>
      <c r="E68" s="259"/>
      <c r="F68" s="162"/>
      <c r="G68" s="139"/>
      <c r="H68" s="104" t="s">
        <v>49</v>
      </c>
      <c r="I68" s="104" t="s">
        <v>51</v>
      </c>
      <c r="J68" s="148">
        <f>M29-O29-N29-L29+I29</f>
        <v>1623931</v>
      </c>
      <c r="K68" s="149">
        <v>1671613</v>
      </c>
      <c r="L68" s="150">
        <f t="shared" ref="L68:L74" si="14">J68-K68</f>
        <v>-47682</v>
      </c>
    </row>
    <row r="69" spans="3:14" x14ac:dyDescent="0.35">
      <c r="C69" s="139" t="s">
        <v>71</v>
      </c>
      <c r="D69" s="225">
        <v>0</v>
      </c>
      <c r="E69" s="259"/>
      <c r="F69" s="162"/>
      <c r="G69" s="139"/>
      <c r="H69" s="104" t="s">
        <v>49</v>
      </c>
      <c r="I69" s="104" t="s">
        <v>18</v>
      </c>
      <c r="J69" s="148">
        <f>M31-O31-N31-L31+I31</f>
        <v>174473</v>
      </c>
      <c r="K69" s="149">
        <v>174473</v>
      </c>
      <c r="L69" s="150">
        <f t="shared" si="14"/>
        <v>0</v>
      </c>
      <c r="N69" s="148"/>
    </row>
    <row r="70" spans="3:14" x14ac:dyDescent="0.35">
      <c r="C70" s="157" t="s">
        <v>73</v>
      </c>
      <c r="D70" s="229">
        <f>SUM(D65:D69)</f>
        <v>0</v>
      </c>
      <c r="E70" s="261"/>
      <c r="F70" s="162"/>
      <c r="G70" s="139"/>
      <c r="H70" s="104" t="s">
        <v>49</v>
      </c>
      <c r="I70" s="104" t="s">
        <v>15</v>
      </c>
      <c r="J70" s="148">
        <f>M32-O32-N32-L32+I32</f>
        <v>35126</v>
      </c>
      <c r="K70" s="149">
        <v>35126</v>
      </c>
      <c r="L70" s="150">
        <f t="shared" si="14"/>
        <v>0</v>
      </c>
    </row>
    <row r="71" spans="3:14" x14ac:dyDescent="0.35">
      <c r="C71" s="161" t="s">
        <v>74</v>
      </c>
      <c r="D71" s="233">
        <f>D63-D70</f>
        <v>3461021</v>
      </c>
      <c r="E71" s="263"/>
      <c r="F71" s="162"/>
      <c r="G71" s="139">
        <v>262660</v>
      </c>
      <c r="H71" s="104" t="s">
        <v>49</v>
      </c>
      <c r="I71" s="104" t="s">
        <v>50</v>
      </c>
      <c r="J71" s="148">
        <f>M33-O33-N33-L33+I33+G71</f>
        <v>1689834</v>
      </c>
      <c r="K71" s="162">
        <v>1382171</v>
      </c>
      <c r="L71" s="150">
        <f t="shared" si="14"/>
        <v>307663</v>
      </c>
    </row>
    <row r="72" spans="3:14" x14ac:dyDescent="0.35">
      <c r="C72" s="139"/>
      <c r="D72" s="225">
        <v>3102990</v>
      </c>
      <c r="E72" s="259"/>
      <c r="F72" s="139"/>
      <c r="G72" s="139"/>
      <c r="H72" s="104" t="s">
        <v>49</v>
      </c>
      <c r="I72" s="104" t="s">
        <v>20</v>
      </c>
      <c r="J72" s="148">
        <f>'Opening Balance FEB 2026'!F24</f>
        <v>66046</v>
      </c>
      <c r="K72" s="149">
        <v>66046</v>
      </c>
      <c r="L72" s="150">
        <f t="shared" si="14"/>
        <v>0</v>
      </c>
    </row>
    <row r="73" spans="3:14" x14ac:dyDescent="0.35">
      <c r="C73" s="139"/>
      <c r="D73" s="225">
        <f>D71-D72</f>
        <v>358031</v>
      </c>
      <c r="E73" s="259"/>
      <c r="F73" s="139"/>
      <c r="G73" s="139"/>
      <c r="H73" s="104" t="s">
        <v>49</v>
      </c>
      <c r="I73" s="104" t="s">
        <v>47</v>
      </c>
      <c r="J73" s="148">
        <f>'Opening Balance FEB 2026'!F25</f>
        <v>23570</v>
      </c>
      <c r="K73" s="149">
        <v>23570</v>
      </c>
      <c r="L73" s="150">
        <f t="shared" si="14"/>
        <v>0</v>
      </c>
    </row>
    <row r="74" spans="3:14" x14ac:dyDescent="0.35">
      <c r="F74" s="139"/>
      <c r="G74" s="139"/>
      <c r="H74" s="152" t="s">
        <v>45</v>
      </c>
      <c r="I74" s="152"/>
      <c r="J74" s="153">
        <f>SUM(J68:J73)</f>
        <v>3612980</v>
      </c>
      <c r="K74" s="149">
        <v>3345320</v>
      </c>
      <c r="L74" s="150">
        <f t="shared" si="14"/>
        <v>267660</v>
      </c>
    </row>
    <row r="75" spans="3:14" x14ac:dyDescent="0.35">
      <c r="F75" s="139"/>
      <c r="G75" s="139"/>
      <c r="H75" s="147" t="s">
        <v>42</v>
      </c>
      <c r="I75" s="147" t="s">
        <v>43</v>
      </c>
      <c r="J75" s="147" t="s">
        <v>44</v>
      </c>
      <c r="N75" s="148"/>
    </row>
    <row r="76" spans="3:14" x14ac:dyDescent="0.35">
      <c r="F76" s="139"/>
      <c r="G76" s="139"/>
      <c r="H76" s="104" t="s">
        <v>52</v>
      </c>
      <c r="I76" s="104" t="s">
        <v>53</v>
      </c>
      <c r="J76" s="148">
        <f>M23-O23-N23-L23+I23-G76</f>
        <v>33969</v>
      </c>
      <c r="K76" s="148">
        <v>33969</v>
      </c>
      <c r="L76" s="150">
        <f>J76-K76</f>
        <v>0</v>
      </c>
    </row>
    <row r="77" spans="3:14" x14ac:dyDescent="0.35">
      <c r="F77" s="139"/>
      <c r="G77" s="139"/>
      <c r="H77" s="104" t="s">
        <v>52</v>
      </c>
      <c r="I77" s="104" t="s">
        <v>47</v>
      </c>
      <c r="J77" s="148">
        <f>M24-O24-N24-L24+I24</f>
        <v>142892</v>
      </c>
      <c r="K77" s="162">
        <v>151366</v>
      </c>
      <c r="L77" s="150">
        <f>J77-K77</f>
        <v>-8474</v>
      </c>
    </row>
    <row r="78" spans="3:14" x14ac:dyDescent="0.35">
      <c r="F78" s="139"/>
      <c r="G78" s="139"/>
      <c r="H78" s="152" t="s">
        <v>45</v>
      </c>
      <c r="I78" s="152"/>
      <c r="J78" s="153">
        <f>SUM(J76:J77)</f>
        <v>176861</v>
      </c>
      <c r="K78" s="148">
        <v>160846</v>
      </c>
      <c r="L78" s="150">
        <f>J78-K78</f>
        <v>16015</v>
      </c>
    </row>
    <row r="79" spans="3:14" x14ac:dyDescent="0.35">
      <c r="F79" s="139"/>
      <c r="G79" s="139"/>
      <c r="H79" s="147" t="s">
        <v>42</v>
      </c>
      <c r="I79" s="147" t="s">
        <v>43</v>
      </c>
      <c r="J79" s="147" t="s">
        <v>44</v>
      </c>
      <c r="K79" s="149">
        <v>0</v>
      </c>
      <c r="L79" s="150"/>
    </row>
    <row r="80" spans="3:14" x14ac:dyDescent="0.35">
      <c r="F80" s="139"/>
      <c r="G80" s="139">
        <v>0</v>
      </c>
      <c r="H80" s="104" t="s">
        <v>54</v>
      </c>
      <c r="I80" s="104" t="s">
        <v>53</v>
      </c>
      <c r="J80" s="148">
        <f>M26-O26-N26-L26+I26-G80</f>
        <v>88658</v>
      </c>
      <c r="K80" s="149">
        <v>89658</v>
      </c>
      <c r="L80" s="150">
        <f>J80-K80</f>
        <v>-1000</v>
      </c>
    </row>
    <row r="81" spans="4:12" x14ac:dyDescent="0.35">
      <c r="F81" s="139"/>
      <c r="G81" s="139"/>
      <c r="H81" s="104" t="s">
        <v>54</v>
      </c>
      <c r="I81" s="104" t="s">
        <v>18</v>
      </c>
      <c r="J81" s="148">
        <f>M27-O27-N27-L27+I27</f>
        <v>17000</v>
      </c>
      <c r="K81" s="149">
        <v>67000</v>
      </c>
      <c r="L81" s="150">
        <f>J81-K81</f>
        <v>-50000</v>
      </c>
    </row>
    <row r="82" spans="4:12" x14ac:dyDescent="0.35">
      <c r="F82" s="139"/>
      <c r="G82" s="139"/>
      <c r="H82" s="152" t="s">
        <v>45</v>
      </c>
      <c r="I82" s="152"/>
      <c r="J82" s="153">
        <f>SUM(J80:J81)</f>
        <v>105658</v>
      </c>
      <c r="K82" s="148">
        <f>SUM(K79:K81)</f>
        <v>156658</v>
      </c>
      <c r="L82" s="150">
        <f>J82-K82</f>
        <v>-51000</v>
      </c>
    </row>
    <row r="83" spans="4:12" x14ac:dyDescent="0.35">
      <c r="F83" s="139"/>
      <c r="G83" s="139"/>
      <c r="H83" s="147" t="s">
        <v>42</v>
      </c>
      <c r="I83" s="147" t="s">
        <v>43</v>
      </c>
      <c r="J83" s="147" t="s">
        <v>44</v>
      </c>
      <c r="K83" s="149">
        <v>0</v>
      </c>
      <c r="L83" s="150"/>
    </row>
    <row r="84" spans="4:12" x14ac:dyDescent="0.35">
      <c r="F84" s="139"/>
      <c r="G84" s="139"/>
      <c r="H84" s="104" t="s">
        <v>55</v>
      </c>
      <c r="I84" s="104" t="s">
        <v>56</v>
      </c>
      <c r="J84" s="148">
        <f>'Opening Balance FEB 2026'!F36</f>
        <v>103541</v>
      </c>
      <c r="K84" s="149">
        <v>103541</v>
      </c>
      <c r="L84" s="150">
        <f>J84-K84</f>
        <v>0</v>
      </c>
    </row>
    <row r="85" spans="4:12" x14ac:dyDescent="0.35">
      <c r="F85" s="139"/>
      <c r="G85" s="139"/>
      <c r="H85" s="104" t="s">
        <v>55</v>
      </c>
      <c r="I85" s="104" t="s">
        <v>47</v>
      </c>
      <c r="J85" s="148">
        <f>'Opening Balance FEB 2026'!F37</f>
        <v>6013</v>
      </c>
      <c r="K85" s="149">
        <v>6013</v>
      </c>
      <c r="L85" s="150">
        <f>J85-K85</f>
        <v>0</v>
      </c>
    </row>
    <row r="86" spans="4:12" x14ac:dyDescent="0.35">
      <c r="F86" s="139"/>
      <c r="G86" s="139"/>
      <c r="H86" s="152" t="s">
        <v>45</v>
      </c>
      <c r="I86" s="152"/>
      <c r="J86" s="153">
        <v>109554</v>
      </c>
      <c r="K86" s="148">
        <f>SUM(K83:K85)</f>
        <v>109554</v>
      </c>
      <c r="L86" s="150">
        <f>J86-K86</f>
        <v>0</v>
      </c>
    </row>
    <row r="87" spans="4:12" x14ac:dyDescent="0.35">
      <c r="F87" s="139"/>
      <c r="G87" s="139"/>
      <c r="H87" s="147" t="s">
        <v>42</v>
      </c>
      <c r="I87" s="147" t="s">
        <v>43</v>
      </c>
      <c r="J87" s="147" t="s">
        <v>44</v>
      </c>
      <c r="K87" s="149">
        <v>0</v>
      </c>
      <c r="L87" s="150"/>
    </row>
    <row r="88" spans="4:12" x14ac:dyDescent="0.35">
      <c r="F88" s="139"/>
      <c r="G88" s="139"/>
      <c r="H88" s="104" t="s">
        <v>57</v>
      </c>
      <c r="I88" s="104" t="s">
        <v>47</v>
      </c>
      <c r="J88" s="148">
        <f>'Opening Balance FEB 2026'!F40</f>
        <v>16440</v>
      </c>
      <c r="K88" s="149">
        <v>16440</v>
      </c>
      <c r="L88" s="150">
        <f>J88-K88</f>
        <v>0</v>
      </c>
    </row>
    <row r="89" spans="4:12" x14ac:dyDescent="0.35">
      <c r="F89" s="139"/>
      <c r="G89" s="139"/>
      <c r="H89" s="152" t="s">
        <v>45</v>
      </c>
      <c r="I89" s="152"/>
      <c r="J89" s="153">
        <v>16440</v>
      </c>
      <c r="K89" s="149">
        <f>SUM(K87:K88)</f>
        <v>16440</v>
      </c>
    </row>
    <row r="90" spans="4:12" x14ac:dyDescent="0.35">
      <c r="F90" s="139"/>
      <c r="G90" s="139"/>
      <c r="J90" s="148"/>
    </row>
    <row r="91" spans="4:12" x14ac:dyDescent="0.35">
      <c r="H91" s="163" t="s">
        <v>58</v>
      </c>
      <c r="I91" s="163"/>
      <c r="J91" s="164">
        <f>J89+J86+J82+J78+J74+J66+J59</f>
        <v>14452242</v>
      </c>
    </row>
    <row r="94" spans="4:12" x14ac:dyDescent="0.35">
      <c r="D94" s="165" t="s">
        <v>82</v>
      </c>
      <c r="E94" s="165"/>
      <c r="F94" s="165"/>
      <c r="G94" s="165"/>
      <c r="H94" s="165"/>
    </row>
    <row r="95" spans="4:12" x14ac:dyDescent="0.35">
      <c r="D95" s="158" t="s">
        <v>42</v>
      </c>
      <c r="E95" s="158" t="s">
        <v>43</v>
      </c>
      <c r="F95" s="158" t="s">
        <v>79</v>
      </c>
      <c r="G95" s="158" t="s">
        <v>80</v>
      </c>
      <c r="H95" s="158" t="s">
        <v>81</v>
      </c>
    </row>
    <row r="96" spans="4:12" x14ac:dyDescent="0.35">
      <c r="D96" s="139" t="s">
        <v>14</v>
      </c>
      <c r="E96" s="139" t="s">
        <v>15</v>
      </c>
      <c r="F96" s="166">
        <f>H5</f>
        <v>81108</v>
      </c>
      <c r="G96" s="166">
        <f>O5</f>
        <v>36243</v>
      </c>
      <c r="H96" s="166">
        <f>I5</f>
        <v>900</v>
      </c>
    </row>
    <row r="97" spans="4:8" x14ac:dyDescent="0.35">
      <c r="D97" s="139" t="s">
        <v>14</v>
      </c>
      <c r="E97" s="139" t="s">
        <v>17</v>
      </c>
      <c r="F97" s="166">
        <f>H7</f>
        <v>0</v>
      </c>
      <c r="G97" s="166">
        <f>O7</f>
        <v>58400</v>
      </c>
      <c r="H97" s="166">
        <f>I7</f>
        <v>0</v>
      </c>
    </row>
    <row r="98" spans="4:8" x14ac:dyDescent="0.35">
      <c r="D98" s="139" t="s">
        <v>14</v>
      </c>
      <c r="E98" s="139" t="s">
        <v>18</v>
      </c>
      <c r="F98" s="166">
        <f>H8</f>
        <v>132259</v>
      </c>
      <c r="G98" s="166">
        <f>O8</f>
        <v>306869</v>
      </c>
      <c r="H98" s="166">
        <f>I8</f>
        <v>62010</v>
      </c>
    </row>
    <row r="99" spans="4:8" x14ac:dyDescent="0.35">
      <c r="D99" s="139" t="s">
        <v>14</v>
      </c>
      <c r="E99" s="139" t="s">
        <v>19</v>
      </c>
      <c r="F99" s="166">
        <f>H9</f>
        <v>70874</v>
      </c>
      <c r="G99" s="166">
        <f>O9</f>
        <v>341764</v>
      </c>
      <c r="H99" s="166">
        <f>I9</f>
        <v>59573</v>
      </c>
    </row>
    <row r="100" spans="4:8" x14ac:dyDescent="0.35">
      <c r="D100" s="139" t="s">
        <v>14</v>
      </c>
      <c r="E100" s="139" t="s">
        <v>20</v>
      </c>
      <c r="F100" s="166">
        <f>H10</f>
        <v>134438</v>
      </c>
      <c r="G100" s="166">
        <f>O10</f>
        <v>115484</v>
      </c>
      <c r="H100" s="166">
        <f>I10</f>
        <v>5264</v>
      </c>
    </row>
    <row r="101" spans="4:8" x14ac:dyDescent="0.35">
      <c r="D101" s="139" t="s">
        <v>14</v>
      </c>
      <c r="E101" s="139" t="s">
        <v>21</v>
      </c>
      <c r="F101" s="166" t="e">
        <f>#REF!+#REF!</f>
        <v>#REF!</v>
      </c>
      <c r="G101" s="166" t="e">
        <f>#REF!</f>
        <v>#REF!</v>
      </c>
      <c r="H101" s="166" t="e">
        <f>#REF!</f>
        <v>#REF!</v>
      </c>
    </row>
    <row r="102" spans="4:8" x14ac:dyDescent="0.35">
      <c r="D102" s="167" t="s">
        <v>45</v>
      </c>
      <c r="E102" s="167"/>
      <c r="F102" s="168" t="e">
        <f>SUM(F96:F101)</f>
        <v>#REF!</v>
      </c>
      <c r="G102" s="168" t="e">
        <f t="shared" ref="G102" si="15">SUM(G96:G101)</f>
        <v>#REF!</v>
      </c>
      <c r="H102" s="168" t="e">
        <f>SUM(H96:H101)</f>
        <v>#REF!</v>
      </c>
    </row>
    <row r="103" spans="4:8" x14ac:dyDescent="0.35">
      <c r="D103" s="158" t="s">
        <v>42</v>
      </c>
      <c r="E103" s="158" t="s">
        <v>43</v>
      </c>
      <c r="F103" s="169" t="s">
        <v>79</v>
      </c>
      <c r="G103" s="169" t="s">
        <v>80</v>
      </c>
      <c r="H103" s="169" t="s">
        <v>81</v>
      </c>
    </row>
    <row r="104" spans="4:8" x14ac:dyDescent="0.35">
      <c r="D104" s="139" t="s">
        <v>46</v>
      </c>
      <c r="E104" s="139" t="s">
        <v>48</v>
      </c>
      <c r="F104" s="166">
        <f>H13</f>
        <v>36397</v>
      </c>
      <c r="G104" s="166">
        <f>O13</f>
        <v>110648</v>
      </c>
      <c r="H104" s="166">
        <f>I13</f>
        <v>0</v>
      </c>
    </row>
    <row r="105" spans="4:8" x14ac:dyDescent="0.35">
      <c r="D105" s="139" t="s">
        <v>46</v>
      </c>
      <c r="E105" s="139" t="s">
        <v>47</v>
      </c>
      <c r="F105" s="166">
        <f>H14</f>
        <v>34456</v>
      </c>
      <c r="G105" s="166">
        <f>O14</f>
        <v>358057</v>
      </c>
      <c r="H105" s="166">
        <f>I14</f>
        <v>18381</v>
      </c>
    </row>
    <row r="106" spans="4:8" x14ac:dyDescent="0.35">
      <c r="D106" s="139" t="s">
        <v>27</v>
      </c>
      <c r="E106" s="139" t="s">
        <v>47</v>
      </c>
      <c r="F106" s="166">
        <v>0</v>
      </c>
      <c r="G106" s="166">
        <v>0</v>
      </c>
      <c r="H106" s="166">
        <v>0</v>
      </c>
    </row>
    <row r="107" spans="4:8" x14ac:dyDescent="0.35">
      <c r="D107" s="167" t="s">
        <v>45</v>
      </c>
      <c r="E107" s="167"/>
      <c r="F107" s="168">
        <f>SUM(F104:F106)</f>
        <v>70853</v>
      </c>
      <c r="G107" s="168">
        <f>SUM(G104:G106)</f>
        <v>468705</v>
      </c>
      <c r="H107" s="168">
        <f>SUM(H104:H106)</f>
        <v>18381</v>
      </c>
    </row>
    <row r="108" spans="4:8" x14ac:dyDescent="0.35">
      <c r="D108" s="158" t="s">
        <v>42</v>
      </c>
      <c r="E108" s="158" t="s">
        <v>43</v>
      </c>
      <c r="F108" s="169" t="s">
        <v>79</v>
      </c>
      <c r="G108" s="169" t="s">
        <v>80</v>
      </c>
      <c r="H108" s="169" t="s">
        <v>81</v>
      </c>
    </row>
    <row r="109" spans="4:8" x14ac:dyDescent="0.35">
      <c r="D109" s="139" t="s">
        <v>49</v>
      </c>
      <c r="E109" s="139" t="s">
        <v>51</v>
      </c>
      <c r="F109" s="166" t="e">
        <f>#REF!</f>
        <v>#REF!</v>
      </c>
      <c r="G109" s="166" t="e">
        <f>#REF!</f>
        <v>#REF!</v>
      </c>
      <c r="H109" s="166" t="e">
        <f>#REF!</f>
        <v>#REF!</v>
      </c>
    </row>
    <row r="110" spans="4:8" x14ac:dyDescent="0.35">
      <c r="D110" s="139" t="s">
        <v>49</v>
      </c>
      <c r="E110" s="139" t="s">
        <v>18</v>
      </c>
      <c r="F110" s="166">
        <f>H31</f>
        <v>0</v>
      </c>
      <c r="G110" s="166">
        <f>O31</f>
        <v>0</v>
      </c>
      <c r="H110" s="166">
        <v>0</v>
      </c>
    </row>
    <row r="111" spans="4:8" x14ac:dyDescent="0.35">
      <c r="D111" s="139" t="s">
        <v>49</v>
      </c>
      <c r="E111" s="139" t="s">
        <v>50</v>
      </c>
      <c r="F111" s="166" t="e">
        <f>#REF!+#REF!</f>
        <v>#REF!</v>
      </c>
      <c r="G111" s="166" t="e">
        <f>#REF!</f>
        <v>#REF!</v>
      </c>
      <c r="H111" s="166" t="e">
        <f>#REF!+#REF!</f>
        <v>#REF!</v>
      </c>
    </row>
    <row r="112" spans="4:8" x14ac:dyDescent="0.35">
      <c r="D112" s="167" t="s">
        <v>45</v>
      </c>
      <c r="E112" s="167"/>
      <c r="F112" s="168" t="e">
        <f>SUM(F109:F111)</f>
        <v>#REF!</v>
      </c>
      <c r="G112" s="168" t="e">
        <f>SUM(G109:G111)</f>
        <v>#REF!</v>
      </c>
      <c r="H112" s="168" t="e">
        <f>SUM(H109:H111)</f>
        <v>#REF!</v>
      </c>
    </row>
    <row r="113" spans="4:8" x14ac:dyDescent="0.35">
      <c r="D113" s="158" t="s">
        <v>42</v>
      </c>
      <c r="E113" s="158" t="s">
        <v>43</v>
      </c>
      <c r="F113" s="169" t="s">
        <v>79</v>
      </c>
      <c r="G113" s="169" t="s">
        <v>80</v>
      </c>
      <c r="H113" s="169" t="s">
        <v>81</v>
      </c>
    </row>
    <row r="114" spans="4:8" x14ac:dyDescent="0.35">
      <c r="D114" s="139" t="s">
        <v>52</v>
      </c>
      <c r="E114" s="139" t="s">
        <v>53</v>
      </c>
      <c r="F114" s="166">
        <f>H23</f>
        <v>0</v>
      </c>
      <c r="G114" s="166">
        <f>O23</f>
        <v>0</v>
      </c>
      <c r="H114" s="166">
        <f>I23</f>
        <v>0</v>
      </c>
    </row>
    <row r="115" spans="4:8" x14ac:dyDescent="0.35">
      <c r="D115" s="167" t="s">
        <v>45</v>
      </c>
      <c r="E115" s="167"/>
      <c r="F115" s="168">
        <f>SUM(F114)</f>
        <v>0</v>
      </c>
      <c r="G115" s="168">
        <f t="shared" ref="G115" si="16">SUM(G114)</f>
        <v>0</v>
      </c>
      <c r="H115" s="168">
        <f>SUM(H114)</f>
        <v>0</v>
      </c>
    </row>
    <row r="116" spans="4:8" x14ac:dyDescent="0.35">
      <c r="D116" s="158" t="s">
        <v>42</v>
      </c>
      <c r="E116" s="158" t="s">
        <v>43</v>
      </c>
      <c r="F116" s="169" t="s">
        <v>79</v>
      </c>
      <c r="G116" s="169" t="s">
        <v>80</v>
      </c>
      <c r="H116" s="169" t="s">
        <v>81</v>
      </c>
    </row>
    <row r="117" spans="4:8" x14ac:dyDescent="0.35">
      <c r="D117" s="139" t="s">
        <v>54</v>
      </c>
      <c r="E117" s="139" t="s">
        <v>53</v>
      </c>
      <c r="F117" s="166">
        <f>H26</f>
        <v>0</v>
      </c>
      <c r="G117" s="166">
        <f>O26</f>
        <v>1000</v>
      </c>
      <c r="H117" s="166">
        <f>I26</f>
        <v>0</v>
      </c>
    </row>
    <row r="118" spans="4:8" x14ac:dyDescent="0.35">
      <c r="D118" s="139" t="s">
        <v>54</v>
      </c>
      <c r="E118" s="139" t="s">
        <v>18</v>
      </c>
      <c r="F118" s="166">
        <f>H27</f>
        <v>0</v>
      </c>
      <c r="G118" s="166">
        <f>O27</f>
        <v>0</v>
      </c>
      <c r="H118" s="166">
        <f>I27</f>
        <v>0</v>
      </c>
    </row>
    <row r="119" spans="4:8" x14ac:dyDescent="0.35">
      <c r="D119" s="167" t="s">
        <v>45</v>
      </c>
      <c r="E119" s="167"/>
      <c r="F119" s="168">
        <f>SUM(F117:F118)</f>
        <v>0</v>
      </c>
      <c r="G119" s="168">
        <f t="shared" ref="G119" si="17">SUM(G117:G118)</f>
        <v>1000</v>
      </c>
      <c r="H119" s="168">
        <f>SUM(H117:H118)</f>
        <v>0</v>
      </c>
    </row>
    <row r="120" spans="4:8" x14ac:dyDescent="0.35">
      <c r="D120" s="170"/>
      <c r="E120" s="170"/>
      <c r="F120" s="171" t="e">
        <f>F119+F115+F112+F107+F102</f>
        <v>#REF!</v>
      </c>
      <c r="G120" s="171" t="e">
        <f t="shared" ref="G120" si="18">G119+G115+G112+G107+G102</f>
        <v>#REF!</v>
      </c>
      <c r="H120" s="171" t="e">
        <f>H119+H115+H112+H107+H102</f>
        <v>#REF!</v>
      </c>
    </row>
  </sheetData>
  <mergeCells count="43">
    <mergeCell ref="M46:O46"/>
    <mergeCell ref="C2:O2"/>
    <mergeCell ref="C3:O3"/>
    <mergeCell ref="H36:I36"/>
    <mergeCell ref="K37:L37"/>
    <mergeCell ref="M37:O37"/>
    <mergeCell ref="C38:D38"/>
    <mergeCell ref="K38:L38"/>
    <mergeCell ref="K39:L39"/>
    <mergeCell ref="K40:L40"/>
    <mergeCell ref="K41:L41"/>
    <mergeCell ref="K42:L42"/>
    <mergeCell ref="K46:L46"/>
    <mergeCell ref="K47:L47"/>
    <mergeCell ref="M47:O47"/>
    <mergeCell ref="K48:L48"/>
    <mergeCell ref="M48:O48"/>
    <mergeCell ref="K49:L49"/>
    <mergeCell ref="M49:O49"/>
    <mergeCell ref="D61:E61"/>
    <mergeCell ref="K50:L50"/>
    <mergeCell ref="M50:O50"/>
    <mergeCell ref="H51:J51"/>
    <mergeCell ref="K51:K52"/>
    <mergeCell ref="C54:E54"/>
    <mergeCell ref="C55:E55"/>
    <mergeCell ref="D56:E56"/>
    <mergeCell ref="D57:E57"/>
    <mergeCell ref="D58:E58"/>
    <mergeCell ref="D59:E59"/>
    <mergeCell ref="D60:E60"/>
    <mergeCell ref="D73:E73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Opening Balance FEB 2026</vt:lpstr>
      <vt:lpstr>01-03-2026</vt:lpstr>
      <vt:lpstr>02-03-2026</vt:lpstr>
      <vt:lpstr>03-03-2026</vt:lpstr>
      <vt:lpstr>04-03-2026</vt:lpstr>
      <vt:lpstr>05-03-2026</vt:lpstr>
      <vt:lpstr>07-03-2026</vt:lpstr>
      <vt:lpstr>08-03-2026</vt:lpstr>
      <vt:lpstr>09-03-2026</vt:lpstr>
      <vt:lpstr>10-03-2026</vt:lpstr>
      <vt:lpstr>11-03-2026</vt:lpstr>
      <vt:lpstr>12-03-2026</vt:lpstr>
      <vt:lpstr>14-03-2026</vt:lpstr>
      <vt:lpstr>15-03-2026</vt:lpstr>
      <vt:lpstr>16-03-2026</vt:lpstr>
      <vt:lpstr>17-03-2026</vt:lpstr>
      <vt:lpstr>18-03-2026</vt:lpstr>
      <vt:lpstr>19-03-2026</vt:lpstr>
      <vt:lpstr>20-03-2026</vt:lpstr>
      <vt:lpstr>24-03-2026</vt:lpstr>
      <vt:lpstr>25-03-2026</vt:lpstr>
      <vt:lpstr>26-03-2026</vt:lpstr>
      <vt:lpstr>28-03-2026</vt:lpstr>
      <vt:lpstr>29-03-2026</vt:lpstr>
      <vt:lpstr>30-03-2026</vt:lpstr>
      <vt:lpstr>31-03-2026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2026-02-16T07:34:28Z</cp:lastPrinted>
  <dcterms:created xsi:type="dcterms:W3CDTF">2025-09-28T06:57:51Z</dcterms:created>
  <dcterms:modified xsi:type="dcterms:W3CDTF">2026-04-04T07:42:57Z</dcterms:modified>
</cp:coreProperties>
</file>